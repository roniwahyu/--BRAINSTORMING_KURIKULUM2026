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!!MYDOCUMENTS2026\!!!SISTEKIN2026\"/>
    </mc:Choice>
  </mc:AlternateContent>
  <xr:revisionPtr revIDLastSave="0" documentId="13_ncr:1_{0D8793FB-8EB3-4A0B-A87B-45B14E21ADE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k List" sheetId="1" r:id="rId1"/>
    <sheet name="1. Profil Lulusan" sheetId="2" r:id="rId2"/>
    <sheet name="2. CPL Prodi" sheetId="3" r:id="rId3"/>
    <sheet name="3. CPL-PL" sheetId="4" r:id="rId4"/>
    <sheet name="4. CPL-MK" sheetId="5" r:id="rId5"/>
    <sheet name="5. Organisasi Mata Kuliah" sheetId="6" r:id="rId6"/>
    <sheet name="6. Peta Pemenuhan CPL" sheetId="7" r:id="rId7"/>
    <sheet name="7. MK-CPMK-SubCPMK-Evaluasi-CPL" sheetId="8" r:id="rId8"/>
    <sheet name="8. Evaluasi MK AI" sheetId="9" r:id="rId9"/>
    <sheet name="9. Evaluasi MK UIUX" sheetId="10" r:id="rId10"/>
    <sheet name="10. Evaluasi MK IoT" sheetId="11" r:id="rId11"/>
    <sheet name="11. Evaluasi MK TataKelola" sheetId="12" r:id="rId12"/>
    <sheet name="12. Perhitungan CPL" sheetId="13" r:id="rId13"/>
    <sheet name="13. Ringkasan" sheetId="14" r:id="rId14"/>
  </sheets>
  <calcPr calcId="181029"/>
</workbook>
</file>

<file path=xl/calcChain.xml><?xml version="1.0" encoding="utf-8"?>
<calcChain xmlns="http://schemas.openxmlformats.org/spreadsheetml/2006/main">
  <c r="G13" i="13" l="1"/>
  <c r="G12" i="13"/>
  <c r="G11" i="13"/>
  <c r="G10" i="13"/>
  <c r="G9" i="13"/>
  <c r="G8" i="13"/>
  <c r="G7" i="13"/>
  <c r="G6" i="13"/>
  <c r="G5" i="13"/>
  <c r="G4" i="13"/>
  <c r="M26" i="12"/>
  <c r="L26" i="12"/>
  <c r="K26" i="12"/>
  <c r="J26" i="12"/>
  <c r="N26" i="12" s="1"/>
  <c r="N25" i="12"/>
  <c r="M25" i="12"/>
  <c r="L25" i="12"/>
  <c r="K25" i="12"/>
  <c r="J25" i="12"/>
  <c r="N24" i="12"/>
  <c r="M24" i="12"/>
  <c r="L24" i="12"/>
  <c r="K24" i="12"/>
  <c r="J24" i="12"/>
  <c r="M23" i="12"/>
  <c r="L23" i="12"/>
  <c r="K23" i="12"/>
  <c r="J23" i="12"/>
  <c r="N23" i="12" s="1"/>
  <c r="M22" i="12"/>
  <c r="L22" i="12"/>
  <c r="K22" i="12"/>
  <c r="J22" i="12"/>
  <c r="N22" i="12" s="1"/>
  <c r="M21" i="12"/>
  <c r="L21" i="12"/>
  <c r="K21" i="12"/>
  <c r="J21" i="12"/>
  <c r="N21" i="12" s="1"/>
  <c r="M20" i="12"/>
  <c r="L20" i="12"/>
  <c r="K20" i="12"/>
  <c r="J20" i="12"/>
  <c r="N20" i="12" s="1"/>
  <c r="N19" i="12"/>
  <c r="M19" i="12"/>
  <c r="L19" i="12"/>
  <c r="K19" i="12"/>
  <c r="J19" i="12"/>
  <c r="M18" i="12"/>
  <c r="L18" i="12"/>
  <c r="K18" i="12"/>
  <c r="J18" i="12"/>
  <c r="N18" i="12" s="1"/>
  <c r="N17" i="12"/>
  <c r="M17" i="12"/>
  <c r="L17" i="12"/>
  <c r="K17" i="12"/>
  <c r="J17" i="12"/>
  <c r="N16" i="12"/>
  <c r="M16" i="12"/>
  <c r="L16" i="12"/>
  <c r="K16" i="12"/>
  <c r="J16" i="12"/>
  <c r="M15" i="12"/>
  <c r="L15" i="12"/>
  <c r="K15" i="12"/>
  <c r="J15" i="12"/>
  <c r="N15" i="12" s="1"/>
  <c r="M14" i="12"/>
  <c r="L14" i="12"/>
  <c r="K14" i="12"/>
  <c r="J14" i="12"/>
  <c r="N14" i="12" s="1"/>
  <c r="M13" i="12"/>
  <c r="L13" i="12"/>
  <c r="K13" i="12"/>
  <c r="J13" i="12"/>
  <c r="N13" i="12" s="1"/>
  <c r="M12" i="12"/>
  <c r="L12" i="12"/>
  <c r="K12" i="12"/>
  <c r="J12" i="12"/>
  <c r="N12" i="12" s="1"/>
  <c r="N11" i="12"/>
  <c r="M11" i="12"/>
  <c r="L11" i="12"/>
  <c r="K11" i="12"/>
  <c r="J11" i="12"/>
  <c r="M10" i="12"/>
  <c r="L10" i="12"/>
  <c r="K10" i="12"/>
  <c r="J10" i="12"/>
  <c r="N10" i="12" s="1"/>
  <c r="N9" i="12"/>
  <c r="M9" i="12"/>
  <c r="L9" i="12"/>
  <c r="K9" i="12"/>
  <c r="J9" i="12"/>
  <c r="N8" i="12"/>
  <c r="M8" i="12"/>
  <c r="L8" i="12"/>
  <c r="K8" i="12"/>
  <c r="J8" i="12"/>
  <c r="M7" i="12"/>
  <c r="B32" i="12" s="1"/>
  <c r="L7" i="12"/>
  <c r="B31" i="12" s="1"/>
  <c r="K7" i="12"/>
  <c r="B30" i="12" s="1"/>
  <c r="J7" i="12"/>
  <c r="B29" i="12" s="1"/>
  <c r="M26" i="11"/>
  <c r="L26" i="11"/>
  <c r="K26" i="11"/>
  <c r="J26" i="11"/>
  <c r="N26" i="11" s="1"/>
  <c r="N25" i="11"/>
  <c r="M25" i="11"/>
  <c r="L25" i="11"/>
  <c r="K25" i="11"/>
  <c r="J25" i="11"/>
  <c r="N24" i="11"/>
  <c r="M24" i="11"/>
  <c r="L24" i="11"/>
  <c r="K24" i="11"/>
  <c r="J24" i="11"/>
  <c r="M23" i="11"/>
  <c r="L23" i="11"/>
  <c r="K23" i="11"/>
  <c r="J23" i="11"/>
  <c r="N23" i="11" s="1"/>
  <c r="N22" i="11"/>
  <c r="M22" i="11"/>
  <c r="L22" i="11"/>
  <c r="K22" i="11"/>
  <c r="J22" i="11"/>
  <c r="M21" i="11"/>
  <c r="L21" i="11"/>
  <c r="K21" i="11"/>
  <c r="J21" i="11"/>
  <c r="N21" i="11" s="1"/>
  <c r="M20" i="11"/>
  <c r="L20" i="11"/>
  <c r="K20" i="11"/>
  <c r="J20" i="11"/>
  <c r="N20" i="11" s="1"/>
  <c r="N19" i="11"/>
  <c r="M19" i="11"/>
  <c r="L19" i="11"/>
  <c r="K19" i="11"/>
  <c r="J19" i="11"/>
  <c r="M18" i="11"/>
  <c r="L18" i="11"/>
  <c r="K18" i="11"/>
  <c r="J18" i="11"/>
  <c r="N18" i="11" s="1"/>
  <c r="N17" i="11"/>
  <c r="M17" i="11"/>
  <c r="L17" i="11"/>
  <c r="K17" i="11"/>
  <c r="J17" i="11"/>
  <c r="N16" i="11"/>
  <c r="M16" i="11"/>
  <c r="L16" i="11"/>
  <c r="K16" i="11"/>
  <c r="J16" i="11"/>
  <c r="M15" i="11"/>
  <c r="L15" i="11"/>
  <c r="K15" i="11"/>
  <c r="J15" i="11"/>
  <c r="N15" i="11" s="1"/>
  <c r="N14" i="11"/>
  <c r="M14" i="11"/>
  <c r="L14" i="11"/>
  <c r="K14" i="11"/>
  <c r="J14" i="11"/>
  <c r="M13" i="11"/>
  <c r="L13" i="11"/>
  <c r="K13" i="11"/>
  <c r="J13" i="11"/>
  <c r="N13" i="11" s="1"/>
  <c r="M12" i="11"/>
  <c r="L12" i="11"/>
  <c r="K12" i="11"/>
  <c r="J12" i="11"/>
  <c r="N12" i="11" s="1"/>
  <c r="N11" i="11"/>
  <c r="M11" i="11"/>
  <c r="L11" i="11"/>
  <c r="K11" i="11"/>
  <c r="J11" i="11"/>
  <c r="M10" i="11"/>
  <c r="L10" i="11"/>
  <c r="K10" i="11"/>
  <c r="J10" i="11"/>
  <c r="N10" i="11" s="1"/>
  <c r="N9" i="11"/>
  <c r="M9" i="11"/>
  <c r="L9" i="11"/>
  <c r="K9" i="11"/>
  <c r="J9" i="11"/>
  <c r="N8" i="11"/>
  <c r="M8" i="11"/>
  <c r="L8" i="11"/>
  <c r="B31" i="11" s="1"/>
  <c r="K8" i="11"/>
  <c r="J8" i="11"/>
  <c r="M7" i="11"/>
  <c r="B32" i="11" s="1"/>
  <c r="L7" i="11"/>
  <c r="K7" i="11"/>
  <c r="B30" i="11" s="1"/>
  <c r="J7" i="11"/>
  <c r="B29" i="11" s="1"/>
  <c r="M26" i="10"/>
  <c r="L26" i="10"/>
  <c r="K26" i="10"/>
  <c r="J26" i="10"/>
  <c r="N26" i="10" s="1"/>
  <c r="N25" i="10"/>
  <c r="M25" i="10"/>
  <c r="L25" i="10"/>
  <c r="K25" i="10"/>
  <c r="J25" i="10"/>
  <c r="N24" i="10"/>
  <c r="M24" i="10"/>
  <c r="L24" i="10"/>
  <c r="K24" i="10"/>
  <c r="J24" i="10"/>
  <c r="M23" i="10"/>
  <c r="L23" i="10"/>
  <c r="K23" i="10"/>
  <c r="J23" i="10"/>
  <c r="N23" i="10" s="1"/>
  <c r="N22" i="10"/>
  <c r="M22" i="10"/>
  <c r="L22" i="10"/>
  <c r="K22" i="10"/>
  <c r="J22" i="10"/>
  <c r="M21" i="10"/>
  <c r="L21" i="10"/>
  <c r="K21" i="10"/>
  <c r="J21" i="10"/>
  <c r="N21" i="10" s="1"/>
  <c r="M20" i="10"/>
  <c r="L20" i="10"/>
  <c r="K20" i="10"/>
  <c r="J20" i="10"/>
  <c r="N20" i="10" s="1"/>
  <c r="N19" i="10"/>
  <c r="M19" i="10"/>
  <c r="L19" i="10"/>
  <c r="K19" i="10"/>
  <c r="J19" i="10"/>
  <c r="M18" i="10"/>
  <c r="L18" i="10"/>
  <c r="K18" i="10"/>
  <c r="J18" i="10"/>
  <c r="N18" i="10" s="1"/>
  <c r="N17" i="10"/>
  <c r="M17" i="10"/>
  <c r="L17" i="10"/>
  <c r="K17" i="10"/>
  <c r="J17" i="10"/>
  <c r="N16" i="10"/>
  <c r="M16" i="10"/>
  <c r="L16" i="10"/>
  <c r="K16" i="10"/>
  <c r="J16" i="10"/>
  <c r="M15" i="10"/>
  <c r="L15" i="10"/>
  <c r="K15" i="10"/>
  <c r="J15" i="10"/>
  <c r="N15" i="10" s="1"/>
  <c r="N14" i="10"/>
  <c r="M14" i="10"/>
  <c r="L14" i="10"/>
  <c r="K14" i="10"/>
  <c r="J14" i="10"/>
  <c r="M13" i="10"/>
  <c r="L13" i="10"/>
  <c r="K13" i="10"/>
  <c r="J13" i="10"/>
  <c r="N13" i="10" s="1"/>
  <c r="M12" i="10"/>
  <c r="L12" i="10"/>
  <c r="K12" i="10"/>
  <c r="J12" i="10"/>
  <c r="N12" i="10" s="1"/>
  <c r="N11" i="10"/>
  <c r="M11" i="10"/>
  <c r="L11" i="10"/>
  <c r="K11" i="10"/>
  <c r="J11" i="10"/>
  <c r="M10" i="10"/>
  <c r="L10" i="10"/>
  <c r="K10" i="10"/>
  <c r="J10" i="10"/>
  <c r="N10" i="10" s="1"/>
  <c r="N9" i="10"/>
  <c r="M9" i="10"/>
  <c r="L9" i="10"/>
  <c r="K9" i="10"/>
  <c r="J9" i="10"/>
  <c r="N8" i="10"/>
  <c r="M8" i="10"/>
  <c r="B32" i="10" s="1"/>
  <c r="L8" i="10"/>
  <c r="B31" i="10" s="1"/>
  <c r="K8" i="10"/>
  <c r="J8" i="10"/>
  <c r="M7" i="10"/>
  <c r="L7" i="10"/>
  <c r="K7" i="10"/>
  <c r="B30" i="10" s="1"/>
  <c r="J7" i="10"/>
  <c r="B29" i="10" s="1"/>
  <c r="M26" i="9"/>
  <c r="L26" i="9"/>
  <c r="K26" i="9"/>
  <c r="J26" i="9"/>
  <c r="N26" i="9" s="1"/>
  <c r="N25" i="9"/>
  <c r="M25" i="9"/>
  <c r="L25" i="9"/>
  <c r="K25" i="9"/>
  <c r="J25" i="9"/>
  <c r="N24" i="9"/>
  <c r="M24" i="9"/>
  <c r="L24" i="9"/>
  <c r="K24" i="9"/>
  <c r="J24" i="9"/>
  <c r="M23" i="9"/>
  <c r="L23" i="9"/>
  <c r="K23" i="9"/>
  <c r="J23" i="9"/>
  <c r="N23" i="9" s="1"/>
  <c r="N22" i="9"/>
  <c r="M22" i="9"/>
  <c r="L22" i="9"/>
  <c r="K22" i="9"/>
  <c r="J22" i="9"/>
  <c r="M21" i="9"/>
  <c r="L21" i="9"/>
  <c r="K21" i="9"/>
  <c r="J21" i="9"/>
  <c r="N21" i="9" s="1"/>
  <c r="M20" i="9"/>
  <c r="L20" i="9"/>
  <c r="K20" i="9"/>
  <c r="J20" i="9"/>
  <c r="N20" i="9" s="1"/>
  <c r="N19" i="9"/>
  <c r="M19" i="9"/>
  <c r="L19" i="9"/>
  <c r="K19" i="9"/>
  <c r="J19" i="9"/>
  <c r="M18" i="9"/>
  <c r="L18" i="9"/>
  <c r="K18" i="9"/>
  <c r="J18" i="9"/>
  <c r="N18" i="9" s="1"/>
  <c r="N17" i="9"/>
  <c r="M17" i="9"/>
  <c r="L17" i="9"/>
  <c r="K17" i="9"/>
  <c r="J17" i="9"/>
  <c r="N16" i="9"/>
  <c r="M16" i="9"/>
  <c r="L16" i="9"/>
  <c r="K16" i="9"/>
  <c r="J16" i="9"/>
  <c r="M15" i="9"/>
  <c r="L15" i="9"/>
  <c r="K15" i="9"/>
  <c r="J15" i="9"/>
  <c r="N15" i="9" s="1"/>
  <c r="N14" i="9"/>
  <c r="M14" i="9"/>
  <c r="L14" i="9"/>
  <c r="K14" i="9"/>
  <c r="J14" i="9"/>
  <c r="M13" i="9"/>
  <c r="L13" i="9"/>
  <c r="K13" i="9"/>
  <c r="J13" i="9"/>
  <c r="N13" i="9" s="1"/>
  <c r="M12" i="9"/>
  <c r="L12" i="9"/>
  <c r="K12" i="9"/>
  <c r="J12" i="9"/>
  <c r="N12" i="9" s="1"/>
  <c r="N11" i="9"/>
  <c r="M11" i="9"/>
  <c r="L11" i="9"/>
  <c r="K11" i="9"/>
  <c r="J11" i="9"/>
  <c r="M10" i="9"/>
  <c r="L10" i="9"/>
  <c r="K10" i="9"/>
  <c r="J10" i="9"/>
  <c r="N10" i="9" s="1"/>
  <c r="N9" i="9"/>
  <c r="M9" i="9"/>
  <c r="L9" i="9"/>
  <c r="K9" i="9"/>
  <c r="J9" i="9"/>
  <c r="N8" i="9"/>
  <c r="M8" i="9"/>
  <c r="B32" i="9" s="1"/>
  <c r="L8" i="9"/>
  <c r="B31" i="9" s="1"/>
  <c r="K8" i="9"/>
  <c r="J8" i="9"/>
  <c r="M7" i="9"/>
  <c r="L7" i="9"/>
  <c r="K7" i="9"/>
  <c r="B30" i="9" s="1"/>
  <c r="J7" i="9"/>
  <c r="B29" i="9" s="1"/>
  <c r="N62" i="7"/>
  <c r="M62" i="7"/>
  <c r="L62" i="7"/>
  <c r="K62" i="7"/>
  <c r="J62" i="7"/>
  <c r="I62" i="7"/>
  <c r="H62" i="7"/>
  <c r="G62" i="7"/>
  <c r="F62" i="7"/>
  <c r="E62" i="7"/>
  <c r="N61" i="7"/>
  <c r="M61" i="7"/>
  <c r="L61" i="7"/>
  <c r="K61" i="7"/>
  <c r="J61" i="7"/>
  <c r="I61" i="7"/>
  <c r="H61" i="7"/>
  <c r="G61" i="7"/>
  <c r="F61" i="7"/>
  <c r="E61" i="7"/>
  <c r="N60" i="7"/>
  <c r="M60" i="7"/>
  <c r="L60" i="7"/>
  <c r="K60" i="7"/>
  <c r="J60" i="7"/>
  <c r="I60" i="7"/>
  <c r="H60" i="7"/>
  <c r="G60" i="7"/>
  <c r="F60" i="7"/>
  <c r="E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P59" i="5"/>
  <c r="O59" i="5"/>
  <c r="N59" i="5"/>
  <c r="M59" i="5"/>
  <c r="L59" i="5"/>
  <c r="K59" i="5"/>
  <c r="J59" i="5"/>
  <c r="I59" i="5"/>
  <c r="H59" i="5"/>
  <c r="G59" i="5"/>
  <c r="F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I13" i="4"/>
  <c r="H13" i="4"/>
  <c r="G13" i="4"/>
  <c r="F13" i="4"/>
  <c r="E13" i="4"/>
  <c r="D13" i="4"/>
  <c r="C13" i="4"/>
  <c r="I12" i="4"/>
  <c r="I11" i="4"/>
  <c r="I10" i="4"/>
  <c r="I9" i="4"/>
  <c r="I8" i="4"/>
  <c r="I7" i="4"/>
  <c r="I6" i="4"/>
  <c r="I5" i="4"/>
  <c r="I4" i="4"/>
  <c r="I3" i="4"/>
  <c r="N7" i="11" l="1"/>
  <c r="E30" i="11" s="1"/>
  <c r="N7" i="12"/>
  <c r="E30" i="12" s="1"/>
  <c r="N7" i="9"/>
  <c r="E30" i="9" s="1"/>
  <c r="N7" i="10"/>
  <c r="E30" i="10" s="1"/>
</calcChain>
</file>

<file path=xl/sharedStrings.xml><?xml version="1.0" encoding="utf-8"?>
<sst xmlns="http://schemas.openxmlformats.org/spreadsheetml/2006/main" count="1335" uniqueCount="429">
  <si>
    <t>SELF ASSESSMENT KESIAPAN IMPLEMENTASI MODUL OBE - S1 SISTEM DAN TEKNOLOGI INFORMASI</t>
  </si>
  <si>
    <t>No</t>
  </si>
  <si>
    <t>Aspek</t>
  </si>
  <si>
    <t>Kriteria/Pertanyaan Kesiapan</t>
  </si>
  <si>
    <t>Status</t>
  </si>
  <si>
    <t>Catatan</t>
  </si>
  <si>
    <t>Kurikulum OBE</t>
  </si>
  <si>
    <t>Profil lulusan tersedia dan menggambarkan peran lulusan.</t>
  </si>
  <si>
    <t>Ya</t>
  </si>
  <si>
    <t>6 PL telah dirumuskan.</t>
  </si>
  <si>
    <t>Jumlah profil lulusan &gt; 3 dan mencakup bekerja/wirausaha.</t>
  </si>
  <si>
    <t>6 PL, termasuk Digital Technopreneur.</t>
  </si>
  <si>
    <t>Profil lulusan disajikan dengan kode, nama, deskripsi, dan profesi.</t>
  </si>
  <si>
    <t>Tersedia pada sheet 1.</t>
  </si>
  <si>
    <t>CPL prodi tersedia dan dirumuskan dengan KKO + konten + konteks.</t>
  </si>
  <si>
    <t>10 CPL dirancang pada sheet 2.</t>
  </si>
  <si>
    <t>Jumlah CPL berada pada rentang 10-15.</t>
  </si>
  <si>
    <t>Jumlah CPL = 10.</t>
  </si>
  <si>
    <t>Semua CPL dipetakan ke Profil Lulusan.</t>
  </si>
  <si>
    <t>Tersedia pada sheet 3.</t>
  </si>
  <si>
    <t>Setiap PL ditopang minimal 3 CPL.</t>
  </si>
  <si>
    <t>Seluruh PL ditopang 4-7 CPL.</t>
  </si>
  <si>
    <t>Semua mata kuliah dipetakan terhadap CPL.</t>
  </si>
  <si>
    <t>56 MK dipetakan pada sheet 4.</t>
  </si>
  <si>
    <t>Struktur mata kuliah per semester dan total SKS tersedia.</t>
  </si>
  <si>
    <t>Kurikulum 2025: 56 MK, 146 SKS, 8 semester.</t>
  </si>
  <si>
    <t>Peta pemenuhan CPL oleh mata kuliah tersedia.</t>
  </si>
  <si>
    <t>Menggunakan level I-R-M pada sheet 6.</t>
  </si>
  <si>
    <t>Bahan Kajian (BK) telah difinalkan dan dipetakan CPL-BK-MK.</t>
  </si>
  <si>
    <t>Perlu dilengkapi</t>
  </si>
  <si>
    <t>Belum tersedia pada data sumber yang diberikan.</t>
  </si>
  <si>
    <t>OBLT</t>
  </si>
  <si>
    <t>Setiap mata kuliah memiliki RPS berbasis CPL/CPMK/Sub-CPMK.</t>
  </si>
  <si>
    <t>Sheet 7 memberi contoh 6 mata kuliah; RPS seluruh MK perlu disusun/diinput.</t>
  </si>
  <si>
    <t>Metode pembelajaran selaras dengan CPMK dan asesmen.</t>
  </si>
  <si>
    <t>Sebagian</t>
  </si>
  <si>
    <t>Contoh tersedia pada sheet 7.</t>
  </si>
  <si>
    <t>OBLAE</t>
  </si>
  <si>
    <t>Rencana evaluasi dan bobot penilaian setiap MK tersedia.</t>
  </si>
  <si>
    <t>Template evaluasi tersedia pada sheet 8-11.</t>
  </si>
  <si>
    <t>Capaian CPMK dan CPL dihitung dari data nilai aktual mahasiswa.</t>
  </si>
  <si>
    <t>Belum</t>
  </si>
  <si>
    <t>Memerlukan data hasil asesmen aktual.</t>
  </si>
  <si>
    <t>Analisis ketercapaian dan continuous improvement dilakukan berkala.</t>
  </si>
  <si>
    <t>Dijalankan setelah data implementasi semester tersedia.</t>
  </si>
  <si>
    <t>Dokumen</t>
  </si>
  <si>
    <t>Landasan, tracer study, PEO/Tujuan Pendidikan, dan referensi kurikulum telah terdokumentasi.</t>
  </si>
  <si>
    <t>Perlu verifikasi</t>
  </si>
  <si>
    <t>Tidak seluruhnya terdapat pada lampiran yang digunakan.</t>
  </si>
  <si>
    <t>PROFIL LULUSAN (PL) - S1 SISTEM DAN TEKNOLOGI INFORMASI</t>
  </si>
  <si>
    <t>Kode PL</t>
  </si>
  <si>
    <t>Nama Profil Lulusan</t>
  </si>
  <si>
    <t>Deskripsi Profil Lulusan</t>
  </si>
  <si>
    <t>Profesi / Bidang Karier</t>
  </si>
  <si>
    <t>PL01</t>
  </si>
  <si>
    <t>AI-Driven System Developer</t>
  </si>
  <si>
    <t>Lulusan mampu mengembangkan sistem informasi berbasis AI sesuai kebutuhan pengguna dan organisasi secara profesional, adaptif, dan bertanggung jawab.</t>
  </si>
  <si>
    <t>AI Application Developer; Machine Learning Developer; Software Developer</t>
  </si>
  <si>
    <t>PL02</t>
  </si>
  <si>
    <t>Human-Centered UX and Gamification Designer</t>
  </si>
  <si>
    <t>Lulusan mampu merancang pengalaman pengguna dan gamifikasi berdasarkan kebutuhan pengguna secara inklusif, efektif, dan berorientasi pengguna.</t>
  </si>
  <si>
    <t>UI/UX Designer; UX Researcher; Interaction/Gamification Designer</t>
  </si>
  <si>
    <t>PL03</t>
  </si>
  <si>
    <t>IoT and Multimedia System Integrator</t>
  </si>
  <si>
    <t>Lulusan mampu mengembangkan dan mengintegrasikan sistem IoT dan multimedia sesuai kebutuhan penerapan secara andal dan efektif.</t>
  </si>
  <si>
    <t>IoT Developer; System Integrator; Multimedia/Smart System Developer</t>
  </si>
  <si>
    <t>PL04</t>
  </si>
  <si>
    <t>Semantic Knowledge and Data Integration Engineer</t>
  </si>
  <si>
    <t>Lulusan mampu mengelola dan mengintegrasikan data serta pengetahuan pada sistem lintas platform secara terstruktur dan interoperabel.</t>
  </si>
  <si>
    <t>Knowledge Engineer; Data Integration Engineer; Semantic Web Developer</t>
  </si>
  <si>
    <t>PL05</t>
  </si>
  <si>
    <t>Digital Technopreneur</t>
  </si>
  <si>
    <t>Lulusan mampu mengembangkan usaha dan inovasi digital berdasarkan kebutuhan pasar dan masyarakat secara kreatif, etis, dan berkelanjutan.</t>
  </si>
  <si>
    <t>Technopreneur; Startup Founder; Digital Product Manager</t>
  </si>
  <si>
    <t>PL06</t>
  </si>
  <si>
    <t>Digital Governance and System Analyst</t>
  </si>
  <si>
    <t>Lulusan mampu menganalisis sistem serta mendukung tata kelola dan transformasi digital organisasi secara sistematis, profesional, dan bertanggung jawab.</t>
  </si>
  <si>
    <t>System Analyst; IT Governance Analyst; Digital Transformation Analyst</t>
  </si>
  <si>
    <t>CAPAIAN PEMBELAJARAN LULUSAN (CPL) - 10 OUTCOMES</t>
  </si>
  <si>
    <t>CPL dirumuskan sebagai outcome program: kata kerja kemampuan + konten/bahan kajian + konteks keilmuan. Rumusan berikut merupakan rancangan untuk validasi tim kurikulum.</t>
  </si>
  <si>
    <t>Kode CPL</t>
  </si>
  <si>
    <t>Rumusan CPL</t>
  </si>
  <si>
    <t>Fokus/Domain</t>
  </si>
  <si>
    <t>PL Terkait</t>
  </si>
  <si>
    <t>Sumber/Referensi</t>
  </si>
  <si>
    <t>CPL01</t>
  </si>
  <si>
    <t>Mampu menganalisis kebutuhan pengguna, proses bisnis, dan permasalahan organisasi untuk merancang solusi sistem dan teknologi informasi yang sesuai.</t>
  </si>
  <si>
    <t>Analisis kebutuhan &amp; perancangan solusi</t>
  </si>
  <si>
    <t>PL01, PL02, PL06</t>
  </si>
  <si>
    <t>Turunan 6 PL + struktur Kurikulum 2025; validasi prodi</t>
  </si>
  <si>
    <t>CPL02</t>
  </si>
  <si>
    <t>Mampu merancang, membangun, menguji, dan mengintegrasikan perangkat lunak, basis data, API, dan layanan cloud untuk menghasilkan sistem informasi yang andal.</t>
  </si>
  <si>
    <t>Pengembangan perangkat lunak &amp; platform</t>
  </si>
  <si>
    <t>PL01, PL03, PL04</t>
  </si>
  <si>
    <t>CPL03</t>
  </si>
  <si>
    <t>Mampu menerapkan metode komputasi, analitika data, kecerdasan buatan, dan machine learning untuk menghasilkan solusi cerdas dan rekomendasi berbasis data.</t>
  </si>
  <si>
    <t>AI, komputasi &amp; analitika data</t>
  </si>
  <si>
    <t>PL01, PL04, PL06</t>
  </si>
  <si>
    <t>CPL04</t>
  </si>
  <si>
    <t>Mampu merancang dan mengevaluasi antarmuka, pengalaman pengguna, gamifikasi, dan multimedia interaktif dengan pendekatan human-centered yang inklusif.</t>
  </si>
  <si>
    <t>UX, gamifikasi &amp; multimedia</t>
  </si>
  <si>
    <t>PL02, PL03, PL05</t>
  </si>
  <si>
    <t>CPL05</t>
  </si>
  <si>
    <t>Mampu merancang dan mengintegrasikan IoT, jaringan, sensor, multimedia, dan layanan komputasi untuk membangun sistem cerdas yang aman dan andal.</t>
  </si>
  <si>
    <t>IoT, infrastruktur &amp; integrasi sistem</t>
  </si>
  <si>
    <t>PL01, PL03</t>
  </si>
  <si>
    <t>CPL06</t>
  </si>
  <si>
    <t>Mampu mengelola, mengintegrasikan, dan merepresentasikan data serta pengetahuan menggunakan basis data, semantic web, ontologi, data warehouse, dan teknologi interoperabilitas.</t>
  </si>
  <si>
    <t>Data, knowledge &amp; interoperability</t>
  </si>
  <si>
    <t>PL04, PL06</t>
  </si>
  <si>
    <t>CPL07</t>
  </si>
  <si>
    <t>Mampu menganalisis dan menerapkan tata kelola, audit, keamanan, etika, hukum, dan kebijakan teknologi informasi untuk mendukung transformasi digital organisasi secara bertanggung jawab.</t>
  </si>
  <si>
    <t>Tata kelola, keamanan &amp; kebijakan digital</t>
  </si>
  <si>
    <t>PL05, PL06</t>
  </si>
  <si>
    <t>CPL08</t>
  </si>
  <si>
    <t>Mampu merancang dan mengelola proyek, produk, model bisnis, serta inovasi digital berbasis kebutuhan pasar dan masyarakat secara kreatif dan berkelanjutan.</t>
  </si>
  <si>
    <t>Proyek, inovasi &amp; technopreneurship</t>
  </si>
  <si>
    <t>PL01, PL02, PL05</t>
  </si>
  <si>
    <t>CPL09</t>
  </si>
  <si>
    <t>Mampu menerapkan matematika, statistika, metode penelitian, dan pemikiran komputasional untuk memecahkan masalah serta mengomunikasikan hasil secara ilmiah.</t>
  </si>
  <si>
    <t>Fondasi ilmiah &amp; penelitian</t>
  </si>
  <si>
    <t>CPL10</t>
  </si>
  <si>
    <t>Mampu bekerja secara profesional dengan integritas, tanggung jawab, komunikasi efektif, kolaborasi, kepemimpinan, dan pembelajaran sepanjang hayat.</t>
  </si>
  <si>
    <t>Etika &amp; keterampilan profesional</t>
  </si>
  <si>
    <t>PL01, PL02, PL03, PL04, PL05, PL06</t>
  </si>
  <si>
    <t>MATRIKS KETERKAITAN CPL - PROFIL LULUSAN</t>
  </si>
  <si>
    <t>Jumlah PL</t>
  </si>
  <si>
    <t>V</t>
  </si>
  <si>
    <t>Jumlah CPL per PL</t>
  </si>
  <si>
    <t>Kriteria: setiap PL ditopang minimal 3 CPL</t>
  </si>
  <si>
    <t>MATRIKS PEMETAAN CPL - MATA KULIAH (56 MK / 146 SKS)</t>
  </si>
  <si>
    <t>Kode MK</t>
  </si>
  <si>
    <t>Nama Mata Kuliah</t>
  </si>
  <si>
    <t>Smt</t>
  </si>
  <si>
    <t>SKS</t>
  </si>
  <si>
    <t>Jumlah CPL</t>
  </si>
  <si>
    <t>MKU-101</t>
  </si>
  <si>
    <t>Agama I</t>
  </si>
  <si>
    <t>MKU-102</t>
  </si>
  <si>
    <t>Pancasila</t>
  </si>
  <si>
    <t>MKU-103</t>
  </si>
  <si>
    <t>Bahasa Indonesia</t>
  </si>
  <si>
    <t>STI-101</t>
  </si>
  <si>
    <t>Pengantar Sistem dan Teknologi Informasi</t>
  </si>
  <si>
    <t>STI-102</t>
  </si>
  <si>
    <t>Algoritma dan Pemrograman (+P)</t>
  </si>
  <si>
    <t>STI-103</t>
  </si>
  <si>
    <t>Logika Informatika</t>
  </si>
  <si>
    <t>STI-104</t>
  </si>
  <si>
    <t>Kalkulus</t>
  </si>
  <si>
    <t>MFT-201</t>
  </si>
  <si>
    <t>Bahasa Inggris</t>
  </si>
  <si>
    <t>MKU-204</t>
  </si>
  <si>
    <t>Kewirausahaan I</t>
  </si>
  <si>
    <t>STI-205</t>
  </si>
  <si>
    <t>Matematika Diskrit</t>
  </si>
  <si>
    <t>STI-206</t>
  </si>
  <si>
    <t>Basis Data (+P)</t>
  </si>
  <si>
    <t>STI-207</t>
  </si>
  <si>
    <t>Struktur Data</t>
  </si>
  <si>
    <t>STI-208</t>
  </si>
  <si>
    <t>Visualisasi Data dan Dashboard Interaktif (+P)</t>
  </si>
  <si>
    <t>STI-209</t>
  </si>
  <si>
    <t>Aljabar Linear</t>
  </si>
  <si>
    <t>STI-310</t>
  </si>
  <si>
    <t>Analisis dan Perancangan Sistem Informasi</t>
  </si>
  <si>
    <t>STI-311</t>
  </si>
  <si>
    <t>Sistem Operasi</t>
  </si>
  <si>
    <t>STI-312</t>
  </si>
  <si>
    <t>Pemrograman Web (+P)</t>
  </si>
  <si>
    <t>STI-313</t>
  </si>
  <si>
    <t>Keamanan Informasi Dasar</t>
  </si>
  <si>
    <t>STI-314</t>
  </si>
  <si>
    <t>Interaksi Manusia dan Komputer</t>
  </si>
  <si>
    <t>STI-315</t>
  </si>
  <si>
    <t>Etika dan Hukum TI</t>
  </si>
  <si>
    <t>STI-316</t>
  </si>
  <si>
    <t>Multimedia Interaktif</t>
  </si>
  <si>
    <t>STI-317</t>
  </si>
  <si>
    <t>Metode Komputasi dan Numerik</t>
  </si>
  <si>
    <t>MKU-405</t>
  </si>
  <si>
    <t>Kewarganegaraan</t>
  </si>
  <si>
    <t>MKU-406</t>
  </si>
  <si>
    <t>Agama II</t>
  </si>
  <si>
    <t>STI-418</t>
  </si>
  <si>
    <t>Sistem Cerdas</t>
  </si>
  <si>
    <t>STI-419</t>
  </si>
  <si>
    <t>Mobile Application Development (+P)</t>
  </si>
  <si>
    <t>STI-420</t>
  </si>
  <si>
    <t>Semantic Web dan Ontologi</t>
  </si>
  <si>
    <t>STI-421</t>
  </si>
  <si>
    <t>Manajemen Proyek TI</t>
  </si>
  <si>
    <t>STI-422</t>
  </si>
  <si>
    <t>E-Commerce dan Digital Business</t>
  </si>
  <si>
    <t>STI-423</t>
  </si>
  <si>
    <t>Game Design dan Gamifikasi Sosial (+P)</t>
  </si>
  <si>
    <t>STI-424</t>
  </si>
  <si>
    <t>Probabilitas dan Statistika</t>
  </si>
  <si>
    <t>MKU-507</t>
  </si>
  <si>
    <t>Kuliah Pengabdian Kepada Masyarakat</t>
  </si>
  <si>
    <t>MKU-508</t>
  </si>
  <si>
    <t>Kewirausahaan II</t>
  </si>
  <si>
    <t>STI-525</t>
  </si>
  <si>
    <t>Pemrograman Lanjut dan API (+P)</t>
  </si>
  <si>
    <t>STI-526</t>
  </si>
  <si>
    <t>Internet of Things (+P)</t>
  </si>
  <si>
    <t>STI-527</t>
  </si>
  <si>
    <t>Sistem Informasi Berbasis Cloud</t>
  </si>
  <si>
    <t>STI-528</t>
  </si>
  <si>
    <t>Text Mining dan NLP</t>
  </si>
  <si>
    <t>STI-529</t>
  </si>
  <si>
    <t>Keamanan Jaringan dan Forensik Digital (+P)</t>
  </si>
  <si>
    <t>STI-530</t>
  </si>
  <si>
    <t>Data Warehouse dan Business Intelligence (+P)</t>
  </si>
  <si>
    <t>STI-531</t>
  </si>
  <si>
    <t>Augmented Reality dan Virtual Reality (+P)</t>
  </si>
  <si>
    <t>STI-632</t>
  </si>
  <si>
    <t>Rekayasa Perangkat Lunak</t>
  </si>
  <si>
    <t>STI-633</t>
  </si>
  <si>
    <t>Sistem Pendukung Keputusan</t>
  </si>
  <si>
    <t>STI-634</t>
  </si>
  <si>
    <t>Pengolahan Citra Digital dan Vision (+P)</t>
  </si>
  <si>
    <t>STI-635</t>
  </si>
  <si>
    <t>Desain dan Evaluasi Antarmuka Pengguna (UI/UX) (+P)</t>
  </si>
  <si>
    <t>STI-636</t>
  </si>
  <si>
    <t>Machine Learning (+P)</t>
  </si>
  <si>
    <t>STI-637</t>
  </si>
  <si>
    <t>Smart City dan Sistem Pemerintahan Digital</t>
  </si>
  <si>
    <t>STI-638</t>
  </si>
  <si>
    <t>Intelligent Signal Processing</t>
  </si>
  <si>
    <t>MFT-002</t>
  </si>
  <si>
    <t>Metodologi Penelitian</t>
  </si>
  <si>
    <t>MFT-003</t>
  </si>
  <si>
    <t>Praktik Kerja Lapangan</t>
  </si>
  <si>
    <t>STI-739</t>
  </si>
  <si>
    <t>Platform Literasi dan Edukasi Digital (+P)</t>
  </si>
  <si>
    <t>STI-740</t>
  </si>
  <si>
    <t>Penambangan Data dan Visualisasi (+P)</t>
  </si>
  <si>
    <t>STI-741</t>
  </si>
  <si>
    <t>Integrasi Layanan Cerdas Berbasis AI</t>
  </si>
  <si>
    <t>STI-742</t>
  </si>
  <si>
    <t>Inovasi Teknologi dan Startup Digital</t>
  </si>
  <si>
    <t>STI-743</t>
  </si>
  <si>
    <t>Audit dan Tata Kelola Sistem Informasi</t>
  </si>
  <si>
    <t>MFT-004</t>
  </si>
  <si>
    <t>Skripsi</t>
  </si>
  <si>
    <t>STI-844</t>
  </si>
  <si>
    <t>Pra Skripsi</t>
  </si>
  <si>
    <t>Jumlah mata kuliah pendukung tiap CPL</t>
  </si>
  <si>
    <t>Seluruh MK telah memiliki minimal satu kontribusi CPL.</t>
  </si>
  <si>
    <t>ORGANISASI MATA KULIAH KURIKULUM 2025</t>
  </si>
  <si>
    <t>Semester</t>
  </si>
  <si>
    <t>Jumlah MK</t>
  </si>
  <si>
    <t>Total SKS</t>
  </si>
  <si>
    <t>Daftar Mata Kuliah</t>
  </si>
  <si>
    <t>CPL Dominan</t>
  </si>
  <si>
    <t>MKU-101 - Agama I (2 SKS)
MKU-102 - Pancasila (2 SKS)
MKU-103 - Bahasa Indonesia (2 SKS)
STI-101 - Pengantar Sistem dan Teknologi Informasi (3 SKS)
STI-102 - Algoritma dan Pemrograman (+P) (3 SKS)
STI-103 - Logika Informatika (2 SKS)
STI-104 - Kalkulus (4 SKS)</t>
  </si>
  <si>
    <t>CPL09, CPL10, CPL07</t>
  </si>
  <si>
    <t>MFT-201 - Bahasa Inggris (2 SKS)
MKU-204 - Kewirausahaan I (2 SKS)
STI-205 - Matematika Diskrit (2 SKS)
STI-206 - Basis Data (+P) (3 SKS)
STI-207 - Struktur Data (3 SKS)
STI-208 - Visualisasi Data dan Dashboard Interaktif (+P) (2 SKS)
STI-209 - Aljabar Linear (4 SKS)</t>
  </si>
  <si>
    <t>CPL09, CPL10, CPL02</t>
  </si>
  <si>
    <t>STI-310 - Analisis dan Perancangan Sistem Informasi (3 SKS)
STI-311 - Sistem Operasi (3 SKS)
STI-312 - Pemrograman Web (+P) (3 SKS)
STI-313 - Keamanan Informasi Dasar (2 SKS)
STI-314 - Interaksi Manusia dan Komputer (3 SKS)
STI-315 - Etika dan Hukum TI (2 SKS)
STI-316 - Multimedia Interaktif (2 SKS)
STI-317 - Metode Komputasi dan Numerik (2 SKS)</t>
  </si>
  <si>
    <t>CPL02, CPL10, CPL05</t>
  </si>
  <si>
    <t>MKU-405 - Kewarganegaraan (2 SKS)
MKU-406 - Agama II (0 SKS)
STI-418 - Sistem Cerdas (2 SKS)
STI-419 - Mobile Application Development (+P) (3 SKS)
STI-420 - Semantic Web dan Ontologi (2 SKS)
STI-421 - Manajemen Proyek TI (2 SKS)
STI-422 - E-Commerce dan Digital Business (3 SKS)
STI-423 - Game Design dan Gamifikasi Sosial (+P) (3 SKS)
STI-424 - Probabilitas dan Statistika (3 SKS)</t>
  </si>
  <si>
    <t>CPL10, CPL08, CPL07</t>
  </si>
  <si>
    <t>MKU-507 - Kuliah Pengabdian Kepada Masyarakat (3 SKS)
MKU-508 - Kewirausahaan II (0 SKS)
STI-525 - Pemrograman Lanjut dan API (+P) (3 SKS)
STI-526 - Internet of Things (+P) (3 SKS)
STI-527 - Sistem Informasi Berbasis Cloud (2 SKS)
STI-528 - Text Mining dan NLP (2 SKS)
STI-529 - Keamanan Jaringan dan Forensik Digital (+P) (3 SKS)
STI-530 - Data Warehouse dan Business Intelligence (+P) (3 SKS)
STI-531 - Augmented Reality dan Virtual Reality (+P) (2 SKS)</t>
  </si>
  <si>
    <t>CPL05, CPL02, CPL07</t>
  </si>
  <si>
    <t>STI-632 - Rekayasa Perangkat Lunak (3 SKS)
STI-633 - Sistem Pendukung Keputusan (3 SKS)
STI-634 - Pengolahan Citra Digital dan Vision (+P) (3 SKS)
STI-635 - Desain dan Evaluasi Antarmuka Pengguna (UI/UX) (+P) (3 SKS)
STI-636 - Machine Learning (+P) (3 SKS)
STI-637 - Smart City dan Sistem Pemerintahan Digital (3 SKS)
STI-638 - Intelligent Signal Processing (3 SKS)</t>
  </si>
  <si>
    <t>CPL03, CPL01, CPL09</t>
  </si>
  <si>
    <t>MFT-002 - Metodologi Penelitian (2 SKS)
MFT-003 - Praktik Kerja Lapangan (3 SKS)
STI-739 - Platform Literasi dan Edukasi Digital (+P) (3 SKS)
STI-740 - Penambangan Data dan Visualisasi (+P) (3 SKS)
STI-741 - Integrasi Layanan Cerdas Berbasis AI (3 SKS)
STI-742 - Inovasi Teknologi dan Startup Digital (3 SKS)
STI-743 - Audit dan Tata Kelola Sistem Informasi (3 SKS)</t>
  </si>
  <si>
    <t>CPL10, CPL09, CPL02</t>
  </si>
  <si>
    <t>MFT-004 - Skripsi (6 SKS)
STI-844 - Pra Skripsi (2 SKS)</t>
  </si>
  <si>
    <t>CPL09, CPL10, CPL01</t>
  </si>
  <si>
    <t>TOTAL</t>
  </si>
  <si>
    <t>Data kurikulum 2025 sesuai laporan prodi.</t>
  </si>
  <si>
    <t>PETA PEMENUHAN CPL OLEH MATA KULIAH - LEVEL I/R/M</t>
  </si>
  <si>
    <t>Legenda: I = Introduced (diperkenalkan), R = Reinforced (diperkuat), M = Mastered (dikuasai/diukur pada level akhir). Penetapan level ini adalah rancangan awal yang perlu divalidasi pada RPS.</t>
  </si>
  <si>
    <t>I</t>
  </si>
  <si>
    <t>R</t>
  </si>
  <si>
    <t>M</t>
  </si>
  <si>
    <t>Jumlah I</t>
  </si>
  <si>
    <t>Jumlah R</t>
  </si>
  <si>
    <t>Jumlah M</t>
  </si>
  <si>
    <t>CONTOH PENURUNAN CPL -&gt; CPMK -&gt; SUB-CPMK -&gt; EVALUASI (6 MATA KULIAH PENCIRI)</t>
  </si>
  <si>
    <t>PL Utama</t>
  </si>
  <si>
    <t>CPMK</t>
  </si>
  <si>
    <t>Rumusan CPMK</t>
  </si>
  <si>
    <t>Sub-CPMK</t>
  </si>
  <si>
    <t>Rumusan Sub-CPMK</t>
  </si>
  <si>
    <t>CPL</t>
  </si>
  <si>
    <t>Metode Evaluasi</t>
  </si>
  <si>
    <t>Bobot (%)</t>
  </si>
  <si>
    <t>CPMK1</t>
  </si>
  <si>
    <t>Menganalisis kebutuhan integrasi layanan cerdas dan data pada suatu kasus organisasi.</t>
  </si>
  <si>
    <t>Sub-CPMK1.1</t>
  </si>
  <si>
    <t>Mengidentifikasi kebutuhan pengguna, sumber data, dan batasan sistem.</t>
  </si>
  <si>
    <t>Studi kasus + tugas analisis</t>
  </si>
  <si>
    <t>Sub-CPMK1.2</t>
  </si>
  <si>
    <t>Menyusun arsitektur konseptual layanan AI dan aliran data.</t>
  </si>
  <si>
    <t>Kuis + studi kasus</t>
  </si>
  <si>
    <t>CPMK2</t>
  </si>
  <si>
    <t>Merancang dan membangun prototipe layanan cerdas berbasis AI yang terintegrasi.</t>
  </si>
  <si>
    <t>Sub-CPMK2.1</t>
  </si>
  <si>
    <t>Mengembangkan API/model layanan cerdas dan mekanisme integrasi.</t>
  </si>
  <si>
    <t>Praktikum + project</t>
  </si>
  <si>
    <t>Sub-CPMK2.2</t>
  </si>
  <si>
    <t>Mengintegrasikan layanan dengan data/cloud/komponen sistem yang relevan.</t>
  </si>
  <si>
    <t>Project</t>
  </si>
  <si>
    <t>CPMK3</t>
  </si>
  <si>
    <t>Mengevaluasi kualitas, interoperabilitas, dan kinerja solusi cerdas.</t>
  </si>
  <si>
    <t>Sub-CPMK3.1</t>
  </si>
  <si>
    <t>Menguji interoperabilitas data dan layanan.</t>
  </si>
  <si>
    <t>Uji sistem</t>
  </si>
  <si>
    <t>Sub-CPMK3.2</t>
  </si>
  <si>
    <t>Mempresentasikan hasil evaluasi dan perbaikan solusi.</t>
  </si>
  <si>
    <t>Presentasi + laporan</t>
  </si>
  <si>
    <t>Menganalisis karakteristik, kebutuhan, dan konteks pengguna.</t>
  </si>
  <si>
    <t>Menyusun persona, user journey, dan kebutuhan pengalaman pengguna.</t>
  </si>
  <si>
    <t>Studi kasus</t>
  </si>
  <si>
    <t>Merumuskan kriteria usability dan aksesibilitas.</t>
  </si>
  <si>
    <t>Kuis + tugas</t>
  </si>
  <si>
    <t>Merancang prototipe antarmuka berbasis human-centered design.</t>
  </si>
  <si>
    <t>Menyusun wireframe dan prototipe interaktif.</t>
  </si>
  <si>
    <t>Menerapkan prinsip inklusivitas dan konsistensi desain.</t>
  </si>
  <si>
    <t>Review sejawat</t>
  </si>
  <si>
    <t>Mengevaluasi antarmuka menggunakan metode yang tepat.</t>
  </si>
  <si>
    <t>Melaksanakan usability testing dan menganalisis hasilnya.</t>
  </si>
  <si>
    <t>Praktikum evaluasi</t>
  </si>
  <si>
    <t>Menyusun rekomendasi perbaikan berbasis bukti.</t>
  </si>
  <si>
    <t>Laporan + presentasi</t>
  </si>
  <si>
    <t>Menganalisis kebutuhan dan arsitektur sistem IoT.</t>
  </si>
  <si>
    <t>Mengidentifikasi sensor, aktuator, protokol, dan kebutuhan konektivitas.</t>
  </si>
  <si>
    <t>Menyusun arsitektur perangkat-edge-cloud sesuai kasus.</t>
  </si>
  <si>
    <t>Tugas desain</t>
  </si>
  <si>
    <t>Mengembangkan prototipe IoT yang terhubung dengan layanan perangkat lunak.</t>
  </si>
  <si>
    <t>Membangun akuisisi data sensor dan komunikasi perangkat.</t>
  </si>
  <si>
    <t>Praktikum</t>
  </si>
  <si>
    <t>Mengintegrasikan data IoT dengan API/aplikasi.</t>
  </si>
  <si>
    <t>Menguji keandalan dan keamanan dasar sistem IoT.</t>
  </si>
  <si>
    <t>Melakukan pengujian konektivitas, latensi, dan ketahanan sistem.</t>
  </si>
  <si>
    <t>Mendokumentasikan hasil pengujian dan perbaikan.</t>
  </si>
  <si>
    <t>Laporan</t>
  </si>
  <si>
    <t>Menjelaskan konsep representasi pengetahuan, semantic web, dan ontologi.</t>
  </si>
  <si>
    <t>Mengidentifikasi konsep, relasi, dan taksonomi domain.</t>
  </si>
  <si>
    <t>Kuis</t>
  </si>
  <si>
    <t>Menganalisis kebutuhan interoperabilitas data pada kasus.</t>
  </si>
  <si>
    <t>Merancang model ontologi untuk suatu domain.</t>
  </si>
  <si>
    <t>Membangun kelas, properti, dan relasi ontologi.</t>
  </si>
  <si>
    <t>Menguji konsistensi dan keterhubungan model.</t>
  </si>
  <si>
    <t>Tugas analisis</t>
  </si>
  <si>
    <t>Mengimplementasikan dan mengevaluasi integrasi data semantik.</t>
  </si>
  <si>
    <t>Menerapkan query dan linked data pada prototipe.</t>
  </si>
  <si>
    <t>Menyusun dokumentasi teknis dan presentasi.</t>
  </si>
  <si>
    <t>Menganalisis masalah, peluang, dan kebutuhan pasar untuk inovasi digital.</t>
  </si>
  <si>
    <t>Memvalidasi problem-solution fit melalui riset pengguna/pasar.</t>
  </si>
  <si>
    <t>Studi lapangan</t>
  </si>
  <si>
    <t>Merumuskan proposisi nilai dan segmen pengguna.</t>
  </si>
  <si>
    <t>Tugas</t>
  </si>
  <si>
    <t>Merancang model bisnis dan MVP produk digital.</t>
  </si>
  <si>
    <t>Menyusun model bisnis dan strategi pengembangan produk.</t>
  </si>
  <si>
    <t>Mengembangkan dan menguji MVP bersama pengguna.</t>
  </si>
  <si>
    <t>Menyajikan dan mengevaluasi kelayakan inovasi digital.</t>
  </si>
  <si>
    <t>Menyusun metrik validasi dan analisis kelayakan.</t>
  </si>
  <si>
    <t>Analisis data</t>
  </si>
  <si>
    <t>Melakukan pitching dan refleksi profesional.</t>
  </si>
  <si>
    <t>Pitching + refleksi</t>
  </si>
  <si>
    <t>Menganalisis prinsip tata kelola, risiko, kontrol, dan kepatuhan TI.</t>
  </si>
  <si>
    <t>Mengidentifikasi tujuan tata kelola dan risiko pada kasus organisasi.</t>
  </si>
  <si>
    <t>Memetakan kontrol, etika, hukum, dan kebutuhan kebijakan.</t>
  </si>
  <si>
    <t>Merancang prosedur audit dan evaluasi tata kelola SI.</t>
  </si>
  <si>
    <t>Menyusun ruang lingkup, kriteria, bukti, dan instrumen audit.</t>
  </si>
  <si>
    <t>Project audit</t>
  </si>
  <si>
    <t>Melaksanakan analisis temuan dan tingkat risiko.</t>
  </si>
  <si>
    <t>Merumuskan rekomendasi peningkatan tata kelola dan transformasi digital.</t>
  </si>
  <si>
    <t>Menyusun rekomendasi berbasis bukti dan prioritas risiko.</t>
  </si>
  <si>
    <t>Mempresentasikan temuan secara profesional dan bertanggung jawab.</t>
  </si>
  <si>
    <t>Presentasi</t>
  </si>
  <si>
    <t>Total Bobot</t>
  </si>
  <si>
    <t>Validasi</t>
  </si>
  <si>
    <t>OK</t>
  </si>
  <si>
    <t>TEMPLATE EVALUASI OBE - STI-741 Integrasi Layanan Cerdas Berbasis AI</t>
  </si>
  <si>
    <t>CPL dibebankan: CPL02, CPL03, CPL05, CPL06 | Isi nilai 0-100 pada kolom Tugas s.d. Project. Target ketercapaian default = 75.</t>
  </si>
  <si>
    <t>Komponen</t>
  </si>
  <si>
    <t>Bobot</t>
  </si>
  <si>
    <t>Kelompok CPMK</t>
  </si>
  <si>
    <t>UTS</t>
  </si>
  <si>
    <t>UAS</t>
  </si>
  <si>
    <t>Aktivitas</t>
  </si>
  <si>
    <t>Nilai Akhir</t>
  </si>
  <si>
    <t>Target</t>
  </si>
  <si>
    <t>NIM</t>
  </si>
  <si>
    <t>Nama Mahasiswa</t>
  </si>
  <si>
    <t>Status CPL</t>
  </si>
  <si>
    <t>Ringkasan Kelas</t>
  </si>
  <si>
    <t>Rata-rata Nilai Akhir</t>
  </si>
  <si>
    <t>Target CPL</t>
  </si>
  <si>
    <t>Rata-rata CPMK1</t>
  </si>
  <si>
    <t>Persentase mahasiswa tercapai</t>
  </si>
  <si>
    <t>Rata-rata CPMK2</t>
  </si>
  <si>
    <t>Rata-rata CPMK3</t>
  </si>
  <si>
    <t>TEMPLATE EVALUASI OBE - STI-635 Desain dan Evaluasi Antarmuka Pengguna (UI/UX)</t>
  </si>
  <si>
    <t>CPL dibebankan: CPL04, CPL09, CPL10 | Isi nilai 0-100 pada kolom Tugas s.d. Project. Target ketercapaian default = 75.</t>
  </si>
  <si>
    <t>TEMPLATE EVALUASI OBE - STI-526 Internet of Things</t>
  </si>
  <si>
    <t>CPL dibebankan: CPL02, CPL05 | Isi nilai 0-100 pada kolom Tugas s.d. Project. Target ketercapaian default = 75.</t>
  </si>
  <si>
    <t>TEMPLATE EVALUASI OBE - STI-743 Audit dan Tata Kelola Sistem Informasi</t>
  </si>
  <si>
    <t>CPL dibebankan: CPL07, CPL09, CPL10 | Isi nilai 0-100 pada kolom Tugas s.d. Project. Target ketercapaian default = 75.</t>
  </si>
  <si>
    <t>TEMPLATE REKAPITULASI KETERCAPAIAN CPL PROGRAM STUDI</t>
  </si>
  <si>
    <t>Catatan: capaian aktual CPL harus berasal dari data asesmen seluruh mata kuliah pengukur. Kolom capaian dapat diisi setelah integrasi data nilai/RPS selesai. Target default dapat disesuaikan oleh program studi.</t>
  </si>
  <si>
    <t>Fokus CPL</t>
  </si>
  <si>
    <t>Jumlah MK Pendukung</t>
  </si>
  <si>
    <t>MK Pengukur Level M</t>
  </si>
  <si>
    <t>Target (%)</t>
  </si>
  <si>
    <t>Capaian Aktual (%)</t>
  </si>
  <si>
    <t>MFT-003, STI-741</t>
  </si>
  <si>
    <t>STI-740, STI-741</t>
  </si>
  <si>
    <t>STI-739, STI-740</t>
  </si>
  <si>
    <t>STI-739, STI-742</t>
  </si>
  <si>
    <t>MFT-004, STI-844</t>
  </si>
  <si>
    <t>RINGKASAN IMPLEMENTASI MODUL OBE - S1 SISTEM DAN TEKNOLOGI INFORMASI</t>
  </si>
  <si>
    <t>Indikator</t>
  </si>
  <si>
    <t>Nilai</t>
  </si>
  <si>
    <t>Jumlah PL Terkait</t>
  </si>
  <si>
    <t>Profil Lulusan</t>
  </si>
  <si>
    <t>Mata Kuliah</t>
  </si>
  <si>
    <t>Catatan Validasi Akademik</t>
  </si>
  <si>
    <t>1. Rumusan 10 CPL disusun dari 6 Profil Lulusan dan struktur Kurikulum 2025; perlu disahkan melalui mekanisme akademik prodi.</t>
  </si>
  <si>
    <t>2. Pemetaan CPL-MK dan level I/R/M merupakan desain awal berbasis nama/posisi mata kuliah; perlu dikonfirmasi dengan RPS dan bahan kajian setiap mata kuliah.</t>
  </si>
  <si>
    <t>3. Bahan Kajian (BK), bobot CPL pada RPS, rubrik asesmen, dan data nilai aktual belum tersedia pada sumber sehingga tidak diada-adakan.</t>
  </si>
  <si>
    <t>4. Sheet evaluasi adalah template implementasi. Capaian CPL program baru sah dihitung setelah data asesmen aktual seluruh mata kuliah pengukur terintegrasi.</t>
  </si>
  <si>
    <t>Distribusi dukungan CPL ditampilkan dengan data bar pada kolom 'Jumlah MK Pendukung'.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</si>
</sst>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i/>
      <sz val="11"/>
      <name val="Carlito"/>
    </font>
    <font>
      <b/>
      <i/>
      <sz val="11"/>
      <color rgb="FF00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C000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 style="thin">
        <color rgb="FFB7B7B7"/>
      </top>
      <bottom style="thin">
        <color rgb="FF000000"/>
      </bottom>
      <diagonal/>
    </border>
    <border>
      <left/>
      <right/>
      <top style="thin">
        <color rgb="FFB7B7B7"/>
      </top>
      <bottom style="thin">
        <color rgb="FF000000"/>
      </bottom>
      <diagonal/>
    </border>
    <border>
      <left/>
      <right style="thin">
        <color rgb="FFB7B7B7"/>
      </right>
      <top style="thin">
        <color rgb="FFB7B7B7"/>
      </top>
      <bottom style="thin">
        <color rgb="FF000000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/>
      <diagonal/>
    </border>
    <border>
      <left style="thin">
        <color rgb="FFB7B7B7"/>
      </left>
      <right/>
      <top style="thin">
        <color rgb="FF000000"/>
      </top>
      <bottom/>
      <diagonal/>
    </border>
    <border>
      <left/>
      <right style="thin">
        <color rgb="FFB7B7B7"/>
      </right>
      <top style="thin">
        <color rgb="FF000000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B7B7B7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0" fillId="0" borderId="7" xfId="0" applyBorder="1" applyAlignment="1">
      <alignment vertical="top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0" xfId="0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13" xfId="0" applyFont="1" applyFill="1" applyBorder="1" applyAlignment="1">
      <alignment horizontal="center" vertical="top" wrapText="1"/>
    </xf>
    <xf numFmtId="0" fontId="2" fillId="3" borderId="14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3" borderId="16" xfId="0" applyFont="1" applyFill="1" applyBorder="1" applyAlignment="1">
      <alignment horizontal="center" vertical="top" wrapText="1"/>
    </xf>
    <xf numFmtId="0" fontId="2" fillId="3" borderId="15" xfId="0" applyFont="1" applyFill="1" applyBorder="1" applyAlignment="1">
      <alignment horizontal="center" vertical="top" wrapText="1"/>
    </xf>
    <xf numFmtId="0" fontId="2" fillId="3" borderId="17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0" fontId="2" fillId="3" borderId="11" xfId="0" applyFont="1" applyFill="1" applyBorder="1" applyAlignment="1">
      <alignment horizontal="center" vertical="top" wrapText="1"/>
    </xf>
    <xf numFmtId="0" fontId="0" fillId="4" borderId="7" xfId="0" applyFill="1" applyBorder="1" applyAlignment="1">
      <alignment vertical="top"/>
    </xf>
    <xf numFmtId="0" fontId="0" fillId="4" borderId="0" xfId="0" applyFill="1" applyAlignment="1">
      <alignment vertical="top" wrapText="1"/>
    </xf>
    <xf numFmtId="1" fontId="0" fillId="0" borderId="8" xfId="0" applyNumberFormat="1" applyBorder="1" applyAlignment="1">
      <alignment vertical="top"/>
    </xf>
    <xf numFmtId="0" fontId="0" fillId="4" borderId="9" xfId="0" applyFill="1" applyBorder="1" applyAlignment="1">
      <alignment vertical="top"/>
    </xf>
    <xf numFmtId="0" fontId="0" fillId="4" borderId="10" xfId="0" applyFill="1" applyBorder="1" applyAlignment="1">
      <alignment vertical="top" wrapText="1"/>
    </xf>
    <xf numFmtId="1" fontId="0" fillId="0" borderId="11" xfId="0" applyNumberFormat="1" applyBorder="1" applyAlignment="1">
      <alignment vertical="top"/>
    </xf>
    <xf numFmtId="9" fontId="2" fillId="3" borderId="2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vertical="top"/>
    </xf>
    <xf numFmtId="0" fontId="0" fillId="0" borderId="19" xfId="0" applyBorder="1" applyAlignment="1">
      <alignment vertical="top"/>
    </xf>
    <xf numFmtId="9" fontId="0" fillId="0" borderId="11" xfId="0" applyNumberFormat="1" applyBorder="1" applyAlignment="1">
      <alignment vertical="top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6" borderId="7" xfId="0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0" fillId="6" borderId="8" xfId="0" applyFill="1" applyBorder="1" applyAlignment="1">
      <alignment vertical="top" wrapText="1"/>
    </xf>
    <xf numFmtId="0" fontId="0" fillId="6" borderId="9" xfId="0" applyFill="1" applyBorder="1" applyAlignment="1">
      <alignment vertical="top" wrapText="1"/>
    </xf>
    <xf numFmtId="0" fontId="0" fillId="6" borderId="10" xfId="0" applyFill="1" applyBorder="1" applyAlignment="1">
      <alignment vertical="top" wrapText="1"/>
    </xf>
    <xf numFmtId="0" fontId="0" fillId="6" borderId="11" xfId="0" applyFill="1" applyBorder="1" applyAlignment="1">
      <alignment vertical="top" wrapText="1"/>
    </xf>
    <xf numFmtId="0" fontId="2" fillId="6" borderId="20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6" borderId="2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13" xfId="0" applyFont="1" applyFill="1" applyBorder="1" applyAlignment="1">
      <alignment horizontal="center" vertical="top" wrapText="1"/>
    </xf>
    <xf numFmtId="0" fontId="0" fillId="4" borderId="0" xfId="0" applyFill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20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D9EAF7"/>
        </patternFill>
      </fill>
    </dxf>
    <dxf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9"/>
  <sheetViews>
    <sheetView workbookViewId="0">
      <selection sqref="A1:E1"/>
    </sheetView>
  </sheetViews>
  <sheetFormatPr defaultRowHeight="13.8"/>
  <cols>
    <col min="1" max="1" width="6" customWidth="1"/>
    <col min="2" max="2" width="20" customWidth="1"/>
    <col min="3" max="3" width="55" customWidth="1"/>
    <col min="4" max="4" width="18" customWidth="1"/>
    <col min="5" max="5" width="45" customWidth="1"/>
  </cols>
  <sheetData>
    <row r="1" spans="1:5" ht="22.35" customHeight="1">
      <c r="A1" s="54" t="s">
        <v>0</v>
      </c>
      <c r="B1" s="54"/>
      <c r="C1" s="54"/>
      <c r="D1" s="54"/>
      <c r="E1" s="54"/>
    </row>
    <row r="2" spans="1:5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spans="1:5">
      <c r="A3" s="7">
        <v>1</v>
      </c>
      <c r="B3" s="8" t="s">
        <v>6</v>
      </c>
      <c r="C3" s="13" t="s">
        <v>7</v>
      </c>
      <c r="D3" s="8" t="s">
        <v>8</v>
      </c>
      <c r="E3" s="15" t="s">
        <v>9</v>
      </c>
    </row>
    <row r="4" spans="1:5">
      <c r="A4" s="7">
        <v>2</v>
      </c>
      <c r="B4" s="8" t="s">
        <v>6</v>
      </c>
      <c r="C4" s="13" t="s">
        <v>10</v>
      </c>
      <c r="D4" s="8" t="s">
        <v>8</v>
      </c>
      <c r="E4" s="15" t="s">
        <v>11</v>
      </c>
    </row>
    <row r="5" spans="1:5">
      <c r="A5" s="7">
        <v>3</v>
      </c>
      <c r="B5" s="8" t="s">
        <v>6</v>
      </c>
      <c r="C5" s="13" t="s">
        <v>12</v>
      </c>
      <c r="D5" s="8" t="s">
        <v>8</v>
      </c>
      <c r="E5" s="15" t="s">
        <v>13</v>
      </c>
    </row>
    <row r="6" spans="1:5" ht="27.6">
      <c r="A6" s="7">
        <v>4</v>
      </c>
      <c r="B6" s="8" t="s">
        <v>6</v>
      </c>
      <c r="C6" s="13" t="s">
        <v>14</v>
      </c>
      <c r="D6" s="8" t="s">
        <v>8</v>
      </c>
      <c r="E6" s="15" t="s">
        <v>15</v>
      </c>
    </row>
    <row r="7" spans="1:5">
      <c r="A7" s="7">
        <v>5</v>
      </c>
      <c r="B7" s="8" t="s">
        <v>6</v>
      </c>
      <c r="C7" s="13" t="s">
        <v>16</v>
      </c>
      <c r="D7" s="8" t="s">
        <v>8</v>
      </c>
      <c r="E7" s="15" t="s">
        <v>17</v>
      </c>
    </row>
    <row r="8" spans="1:5">
      <c r="A8" s="7">
        <v>6</v>
      </c>
      <c r="B8" s="8" t="s">
        <v>6</v>
      </c>
      <c r="C8" s="13" t="s">
        <v>18</v>
      </c>
      <c r="D8" s="8" t="s">
        <v>8</v>
      </c>
      <c r="E8" s="15" t="s">
        <v>19</v>
      </c>
    </row>
    <row r="9" spans="1:5">
      <c r="A9" s="7">
        <v>7</v>
      </c>
      <c r="B9" s="8" t="s">
        <v>6</v>
      </c>
      <c r="C9" s="13" t="s">
        <v>20</v>
      </c>
      <c r="D9" s="8" t="s">
        <v>8</v>
      </c>
      <c r="E9" s="15" t="s">
        <v>21</v>
      </c>
    </row>
    <row r="10" spans="1:5">
      <c r="A10" s="7">
        <v>8</v>
      </c>
      <c r="B10" s="8" t="s">
        <v>6</v>
      </c>
      <c r="C10" s="13" t="s">
        <v>22</v>
      </c>
      <c r="D10" s="8" t="s">
        <v>8</v>
      </c>
      <c r="E10" s="15" t="s">
        <v>23</v>
      </c>
    </row>
    <row r="11" spans="1:5">
      <c r="A11" s="7">
        <v>9</v>
      </c>
      <c r="B11" s="8" t="s">
        <v>6</v>
      </c>
      <c r="C11" s="13" t="s">
        <v>24</v>
      </c>
      <c r="D11" s="8" t="s">
        <v>8</v>
      </c>
      <c r="E11" s="15" t="s">
        <v>25</v>
      </c>
    </row>
    <row r="12" spans="1:5">
      <c r="A12" s="7">
        <v>10</v>
      </c>
      <c r="B12" s="8" t="s">
        <v>6</v>
      </c>
      <c r="C12" s="13" t="s">
        <v>26</v>
      </c>
      <c r="D12" s="8" t="s">
        <v>8</v>
      </c>
      <c r="E12" s="15" t="s">
        <v>27</v>
      </c>
    </row>
    <row r="13" spans="1:5">
      <c r="A13" s="7">
        <v>11</v>
      </c>
      <c r="B13" s="8" t="s">
        <v>6</v>
      </c>
      <c r="C13" s="13" t="s">
        <v>28</v>
      </c>
      <c r="D13" s="8" t="s">
        <v>29</v>
      </c>
      <c r="E13" s="15" t="s">
        <v>30</v>
      </c>
    </row>
    <row r="14" spans="1:5" ht="27.6">
      <c r="A14" s="7">
        <v>12</v>
      </c>
      <c r="B14" s="8" t="s">
        <v>31</v>
      </c>
      <c r="C14" s="13" t="s">
        <v>32</v>
      </c>
      <c r="D14" s="8" t="s">
        <v>29</v>
      </c>
      <c r="E14" s="15" t="s">
        <v>33</v>
      </c>
    </row>
    <row r="15" spans="1:5">
      <c r="A15" s="7">
        <v>13</v>
      </c>
      <c r="B15" s="8" t="s">
        <v>31</v>
      </c>
      <c r="C15" s="13" t="s">
        <v>34</v>
      </c>
      <c r="D15" s="8" t="s">
        <v>35</v>
      </c>
      <c r="E15" s="15" t="s">
        <v>36</v>
      </c>
    </row>
    <row r="16" spans="1:5">
      <c r="A16" s="7">
        <v>14</v>
      </c>
      <c r="B16" s="8" t="s">
        <v>37</v>
      </c>
      <c r="C16" s="13" t="s">
        <v>38</v>
      </c>
      <c r="D16" s="8" t="s">
        <v>35</v>
      </c>
      <c r="E16" s="15" t="s">
        <v>39</v>
      </c>
    </row>
    <row r="17" spans="1:5" ht="27.6">
      <c r="A17" s="7">
        <v>15</v>
      </c>
      <c r="B17" s="8" t="s">
        <v>37</v>
      </c>
      <c r="C17" s="13" t="s">
        <v>40</v>
      </c>
      <c r="D17" s="8" t="s">
        <v>41</v>
      </c>
      <c r="E17" s="15" t="s">
        <v>42</v>
      </c>
    </row>
    <row r="18" spans="1:5" ht="27.6">
      <c r="A18" s="7">
        <v>16</v>
      </c>
      <c r="B18" s="8" t="s">
        <v>37</v>
      </c>
      <c r="C18" s="13" t="s">
        <v>43</v>
      </c>
      <c r="D18" s="8" t="s">
        <v>41</v>
      </c>
      <c r="E18" s="15" t="s">
        <v>44</v>
      </c>
    </row>
    <row r="19" spans="1:5" ht="27.6">
      <c r="A19" s="10">
        <v>17</v>
      </c>
      <c r="B19" s="11" t="s">
        <v>45</v>
      </c>
      <c r="C19" s="14" t="s">
        <v>46</v>
      </c>
      <c r="D19" s="11" t="s">
        <v>47</v>
      </c>
      <c r="E19" s="16" t="s">
        <v>48</v>
      </c>
    </row>
  </sheetData>
  <mergeCells count="1">
    <mergeCell ref="A1:E1"/>
  </mergeCells>
  <conditionalFormatting sqref="D3:D19">
    <cfRule type="expression" dxfId="19" priority="1">
      <formula>D3="Ya"</formula>
    </cfRule>
    <cfRule type="expression" dxfId="18" priority="2">
      <formula>D3="Belum"</formula>
    </cfRule>
    <cfRule type="expression" dxfId="17" priority="3">
      <formula>OR(D3="Sebagian",D3="Perlu dilengkapi",D3="Perlu verifikasi")</formula>
    </cfRule>
  </conditionalFormatting>
  <dataValidations count="1">
    <dataValidation type="list" sqref="D3:D19" xr:uid="{00000000-0002-0000-0000-000000000000}">
      <formula1>"Ya,Sebagian,Perlu dilengkapi,Perlu verifikasi,Belum"</formula1>
    </dataValidation>
  </dataValidations>
  <pageMargins left="0.7" right="0.7" top="0.75" bottom="0.75" header="0.3" footer="0.3"/>
  <pageSetup paperSize="9"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8"/>
  <sheetViews>
    <sheetView tabSelected="1" workbookViewId="0">
      <selection activeCell="D21" sqref="D21"/>
    </sheetView>
  </sheetViews>
  <sheetFormatPr defaultRowHeight="13.8"/>
  <cols>
    <col min="1" max="1" width="6" customWidth="1"/>
    <col min="2" max="2" width="10" customWidth="1"/>
    <col min="3" max="3" width="34" customWidth="1"/>
    <col min="4" max="4" width="60" customWidth="1"/>
    <col min="5" max="5" width="44" customWidth="1"/>
  </cols>
  <sheetData>
    <row r="1" spans="1:5" ht="22.35" customHeight="1">
      <c r="A1" s="54" t="s">
        <v>49</v>
      </c>
      <c r="B1" s="54"/>
      <c r="C1" s="54"/>
      <c r="D1" s="54"/>
      <c r="E1" s="54"/>
    </row>
    <row r="2" spans="1:5">
      <c r="A2" s="4" t="s">
        <v>1</v>
      </c>
      <c r="B2" s="5" t="s">
        <v>50</v>
      </c>
      <c r="C2" s="5" t="s">
        <v>51</v>
      </c>
      <c r="D2" s="5" t="s">
        <v>52</v>
      </c>
      <c r="E2" s="6" t="s">
        <v>53</v>
      </c>
    </row>
    <row r="3" spans="1:5" ht="41.4">
      <c r="A3" s="7">
        <v>1</v>
      </c>
      <c r="B3" s="8" t="s">
        <v>54</v>
      </c>
      <c r="C3" s="13" t="s">
        <v>55</v>
      </c>
      <c r="D3" s="13" t="s">
        <v>56</v>
      </c>
      <c r="E3" s="15" t="s">
        <v>57</v>
      </c>
    </row>
    <row r="4" spans="1:5" ht="41.4">
      <c r="A4" s="7">
        <v>2</v>
      </c>
      <c r="B4" s="8" t="s">
        <v>58</v>
      </c>
      <c r="C4" s="13" t="s">
        <v>59</v>
      </c>
      <c r="D4" s="13" t="s">
        <v>60</v>
      </c>
      <c r="E4" s="15" t="s">
        <v>61</v>
      </c>
    </row>
    <row r="5" spans="1:5" ht="27.6">
      <c r="A5" s="7">
        <v>3</v>
      </c>
      <c r="B5" s="8" t="s">
        <v>62</v>
      </c>
      <c r="C5" s="13" t="s">
        <v>63</v>
      </c>
      <c r="D5" s="13" t="s">
        <v>64</v>
      </c>
      <c r="E5" s="15" t="s">
        <v>65</v>
      </c>
    </row>
    <row r="6" spans="1:5" ht="41.4">
      <c r="A6" s="7">
        <v>4</v>
      </c>
      <c r="B6" s="8" t="s">
        <v>66</v>
      </c>
      <c r="C6" s="13" t="s">
        <v>67</v>
      </c>
      <c r="D6" s="13" t="s">
        <v>68</v>
      </c>
      <c r="E6" s="15" t="s">
        <v>69</v>
      </c>
    </row>
    <row r="7" spans="1:5" ht="27.6">
      <c r="A7" s="7">
        <v>5</v>
      </c>
      <c r="B7" s="8" t="s">
        <v>70</v>
      </c>
      <c r="C7" s="13" t="s">
        <v>71</v>
      </c>
      <c r="D7" s="13" t="s">
        <v>72</v>
      </c>
      <c r="E7" s="15" t="s">
        <v>73</v>
      </c>
    </row>
    <row r="8" spans="1:5" ht="41.4">
      <c r="A8" s="10">
        <v>6</v>
      </c>
      <c r="B8" s="11" t="s">
        <v>74</v>
      </c>
      <c r="C8" s="14" t="s">
        <v>75</v>
      </c>
      <c r="D8" s="14" t="s">
        <v>76</v>
      </c>
      <c r="E8" s="16" t="s">
        <v>77</v>
      </c>
    </row>
  </sheetData>
  <mergeCells count="1">
    <mergeCell ref="A1:E1"/>
  </mergeCells>
  <pageMargins left="0.7" right="0.7" top="0.75" bottom="0.75" header="0.3" footer="0.3"/>
  <pageSetup scale="7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3"/>
  <sheetViews>
    <sheetView workbookViewId="0"/>
  </sheetViews>
  <sheetFormatPr defaultRowHeight="13.8"/>
  <cols>
    <col min="1" max="1" width="6" customWidth="1"/>
    <col min="2" max="2" width="10" customWidth="1"/>
    <col min="3" max="3" width="68" customWidth="1"/>
    <col min="4" max="4" width="32" customWidth="1"/>
    <col min="5" max="5" width="24" customWidth="1"/>
    <col min="6" max="6" width="38" customWidth="1"/>
  </cols>
  <sheetData>
    <row r="1" spans="1:6" ht="22.35" customHeight="1">
      <c r="A1" s="54" t="s">
        <v>78</v>
      </c>
      <c r="B1" s="54"/>
      <c r="C1" s="54"/>
      <c r="D1" s="54"/>
      <c r="E1" s="54"/>
      <c r="F1" s="54"/>
    </row>
    <row r="2" spans="1:6" ht="14.4">
      <c r="A2" s="55" t="s">
        <v>79</v>
      </c>
      <c r="B2" s="55"/>
      <c r="C2" s="55"/>
      <c r="D2" s="55"/>
      <c r="E2" s="55"/>
      <c r="F2" s="55"/>
    </row>
    <row r="3" spans="1:6">
      <c r="A3" s="4" t="s">
        <v>1</v>
      </c>
      <c r="B3" s="5" t="s">
        <v>80</v>
      </c>
      <c r="C3" s="5" t="s">
        <v>81</v>
      </c>
      <c r="D3" s="5" t="s">
        <v>82</v>
      </c>
      <c r="E3" s="5" t="s">
        <v>83</v>
      </c>
      <c r="F3" s="6" t="s">
        <v>84</v>
      </c>
    </row>
    <row r="4" spans="1:6" ht="27.6">
      <c r="A4" s="7">
        <v>1</v>
      </c>
      <c r="B4" s="8" t="s">
        <v>85</v>
      </c>
      <c r="C4" s="13" t="s">
        <v>86</v>
      </c>
      <c r="D4" s="13" t="s">
        <v>87</v>
      </c>
      <c r="E4" s="13" t="s">
        <v>88</v>
      </c>
      <c r="F4" s="15" t="s">
        <v>89</v>
      </c>
    </row>
    <row r="5" spans="1:6" ht="41.4">
      <c r="A5" s="7">
        <v>2</v>
      </c>
      <c r="B5" s="8" t="s">
        <v>90</v>
      </c>
      <c r="C5" s="13" t="s">
        <v>91</v>
      </c>
      <c r="D5" s="13" t="s">
        <v>92</v>
      </c>
      <c r="E5" s="13" t="s">
        <v>93</v>
      </c>
      <c r="F5" s="15" t="s">
        <v>89</v>
      </c>
    </row>
    <row r="6" spans="1:6" ht="41.4">
      <c r="A6" s="7">
        <v>3</v>
      </c>
      <c r="B6" s="8" t="s">
        <v>94</v>
      </c>
      <c r="C6" s="13" t="s">
        <v>95</v>
      </c>
      <c r="D6" s="13" t="s">
        <v>96</v>
      </c>
      <c r="E6" s="13" t="s">
        <v>97</v>
      </c>
      <c r="F6" s="15" t="s">
        <v>89</v>
      </c>
    </row>
    <row r="7" spans="1:6" ht="41.4">
      <c r="A7" s="7">
        <v>4</v>
      </c>
      <c r="B7" s="8" t="s">
        <v>98</v>
      </c>
      <c r="C7" s="13" t="s">
        <v>99</v>
      </c>
      <c r="D7" s="13" t="s">
        <v>100</v>
      </c>
      <c r="E7" s="13" t="s">
        <v>101</v>
      </c>
      <c r="F7" s="15" t="s">
        <v>89</v>
      </c>
    </row>
    <row r="8" spans="1:6" ht="27.6">
      <c r="A8" s="7">
        <v>5</v>
      </c>
      <c r="B8" s="8" t="s">
        <v>102</v>
      </c>
      <c r="C8" s="13" t="s">
        <v>103</v>
      </c>
      <c r="D8" s="13" t="s">
        <v>104</v>
      </c>
      <c r="E8" s="13" t="s">
        <v>105</v>
      </c>
      <c r="F8" s="15" t="s">
        <v>89</v>
      </c>
    </row>
    <row r="9" spans="1:6" ht="41.4">
      <c r="A9" s="7">
        <v>6</v>
      </c>
      <c r="B9" s="8" t="s">
        <v>106</v>
      </c>
      <c r="C9" s="13" t="s">
        <v>107</v>
      </c>
      <c r="D9" s="13" t="s">
        <v>108</v>
      </c>
      <c r="E9" s="13" t="s">
        <v>109</v>
      </c>
      <c r="F9" s="15" t="s">
        <v>89</v>
      </c>
    </row>
    <row r="10" spans="1:6" ht="41.4">
      <c r="A10" s="7">
        <v>7</v>
      </c>
      <c r="B10" s="8" t="s">
        <v>110</v>
      </c>
      <c r="C10" s="13" t="s">
        <v>111</v>
      </c>
      <c r="D10" s="13" t="s">
        <v>112</v>
      </c>
      <c r="E10" s="13" t="s">
        <v>113</v>
      </c>
      <c r="F10" s="15" t="s">
        <v>89</v>
      </c>
    </row>
    <row r="11" spans="1:6" ht="27.6">
      <c r="A11" s="7">
        <v>8</v>
      </c>
      <c r="B11" s="8" t="s">
        <v>114</v>
      </c>
      <c r="C11" s="13" t="s">
        <v>115</v>
      </c>
      <c r="D11" s="13" t="s">
        <v>116</v>
      </c>
      <c r="E11" s="13" t="s">
        <v>117</v>
      </c>
      <c r="F11" s="15" t="s">
        <v>89</v>
      </c>
    </row>
    <row r="12" spans="1:6" ht="41.4">
      <c r="A12" s="7">
        <v>9</v>
      </c>
      <c r="B12" s="8" t="s">
        <v>118</v>
      </c>
      <c r="C12" s="13" t="s">
        <v>119</v>
      </c>
      <c r="D12" s="13" t="s">
        <v>120</v>
      </c>
      <c r="E12" s="13" t="s">
        <v>97</v>
      </c>
      <c r="F12" s="15" t="s">
        <v>89</v>
      </c>
    </row>
    <row r="13" spans="1:6" ht="27.6">
      <c r="A13" s="10">
        <v>10</v>
      </c>
      <c r="B13" s="11" t="s">
        <v>121</v>
      </c>
      <c r="C13" s="14" t="s">
        <v>122</v>
      </c>
      <c r="D13" s="14" t="s">
        <v>123</v>
      </c>
      <c r="E13" s="14" t="s">
        <v>124</v>
      </c>
      <c r="F13" s="16" t="s">
        <v>89</v>
      </c>
    </row>
  </sheetData>
  <mergeCells count="2">
    <mergeCell ref="A1:F1"/>
    <mergeCell ref="A2:F2"/>
  </mergeCells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3"/>
  <sheetViews>
    <sheetView workbookViewId="0"/>
  </sheetViews>
  <sheetFormatPr defaultRowHeight="13.8"/>
  <cols>
    <col min="1" max="1" width="6" customWidth="1"/>
    <col min="2" max="2" width="10" customWidth="1"/>
    <col min="3" max="8" width="9" customWidth="1"/>
    <col min="9" max="9" width="11" customWidth="1"/>
    <col min="10" max="10" width="62" customWidth="1"/>
  </cols>
  <sheetData>
    <row r="1" spans="1:10" ht="22.35" customHeight="1">
      <c r="A1" s="54" t="s">
        <v>125</v>
      </c>
      <c r="B1" s="54"/>
      <c r="C1" s="54"/>
      <c r="D1" s="54"/>
      <c r="E1" s="54"/>
      <c r="F1" s="54"/>
      <c r="G1" s="54"/>
      <c r="H1" s="54"/>
      <c r="I1" s="54"/>
      <c r="J1" s="54"/>
    </row>
    <row r="2" spans="1:10">
      <c r="A2" s="4" t="s">
        <v>1</v>
      </c>
      <c r="B2" s="5" t="s">
        <v>80</v>
      </c>
      <c r="C2" s="5" t="s">
        <v>54</v>
      </c>
      <c r="D2" s="5" t="s">
        <v>58</v>
      </c>
      <c r="E2" s="5" t="s">
        <v>62</v>
      </c>
      <c r="F2" s="5" t="s">
        <v>66</v>
      </c>
      <c r="G2" s="5" t="s">
        <v>70</v>
      </c>
      <c r="H2" s="5" t="s">
        <v>74</v>
      </c>
      <c r="I2" s="5" t="s">
        <v>126</v>
      </c>
      <c r="J2" s="6" t="s">
        <v>81</v>
      </c>
    </row>
    <row r="3" spans="1:10" ht="41.4">
      <c r="A3" s="7">
        <v>1</v>
      </c>
      <c r="B3" s="8" t="s">
        <v>85</v>
      </c>
      <c r="C3" s="20" t="s">
        <v>127</v>
      </c>
      <c r="D3" s="20" t="s">
        <v>127</v>
      </c>
      <c r="E3" s="20"/>
      <c r="F3" s="20"/>
      <c r="G3" s="20"/>
      <c r="H3" s="20" t="s">
        <v>127</v>
      </c>
      <c r="I3" s="8">
        <f t="shared" ref="I3:I12" si="0">COUNTIF(C3:H3,"V")</f>
        <v>3</v>
      </c>
      <c r="J3" s="15" t="s">
        <v>86</v>
      </c>
    </row>
    <row r="4" spans="1:10" ht="41.4">
      <c r="A4" s="7">
        <v>2</v>
      </c>
      <c r="B4" s="8" t="s">
        <v>90</v>
      </c>
      <c r="C4" s="20" t="s">
        <v>127</v>
      </c>
      <c r="D4" s="20"/>
      <c r="E4" s="20" t="s">
        <v>127</v>
      </c>
      <c r="F4" s="20" t="s">
        <v>127</v>
      </c>
      <c r="G4" s="20"/>
      <c r="H4" s="20"/>
      <c r="I4" s="8">
        <f t="shared" si="0"/>
        <v>3</v>
      </c>
      <c r="J4" s="15" t="s">
        <v>91</v>
      </c>
    </row>
    <row r="5" spans="1:10" ht="41.4">
      <c r="A5" s="7">
        <v>3</v>
      </c>
      <c r="B5" s="8" t="s">
        <v>94</v>
      </c>
      <c r="C5" s="20" t="s">
        <v>127</v>
      </c>
      <c r="D5" s="20"/>
      <c r="E5" s="20"/>
      <c r="F5" s="20" t="s">
        <v>127</v>
      </c>
      <c r="G5" s="20"/>
      <c r="H5" s="20" t="s">
        <v>127</v>
      </c>
      <c r="I5" s="8">
        <f t="shared" si="0"/>
        <v>3</v>
      </c>
      <c r="J5" s="15" t="s">
        <v>95</v>
      </c>
    </row>
    <row r="6" spans="1:10" ht="41.4">
      <c r="A6" s="7">
        <v>4</v>
      </c>
      <c r="B6" s="8" t="s">
        <v>98</v>
      </c>
      <c r="C6" s="20"/>
      <c r="D6" s="20" t="s">
        <v>127</v>
      </c>
      <c r="E6" s="20" t="s">
        <v>127</v>
      </c>
      <c r="F6" s="20"/>
      <c r="G6" s="20" t="s">
        <v>127</v>
      </c>
      <c r="H6" s="20"/>
      <c r="I6" s="8">
        <f t="shared" si="0"/>
        <v>3</v>
      </c>
      <c r="J6" s="15" t="s">
        <v>99</v>
      </c>
    </row>
    <row r="7" spans="1:10" ht="41.4">
      <c r="A7" s="7">
        <v>5</v>
      </c>
      <c r="B7" s="8" t="s">
        <v>102</v>
      </c>
      <c r="C7" s="20" t="s">
        <v>127</v>
      </c>
      <c r="D7" s="20"/>
      <c r="E7" s="20" t="s">
        <v>127</v>
      </c>
      <c r="F7" s="20"/>
      <c r="G7" s="20"/>
      <c r="H7" s="20"/>
      <c r="I7" s="8">
        <f t="shared" si="0"/>
        <v>2</v>
      </c>
      <c r="J7" s="15" t="s">
        <v>103</v>
      </c>
    </row>
    <row r="8" spans="1:10" ht="41.4">
      <c r="A8" s="7">
        <v>6</v>
      </c>
      <c r="B8" s="8" t="s">
        <v>106</v>
      </c>
      <c r="C8" s="20"/>
      <c r="D8" s="20"/>
      <c r="E8" s="20"/>
      <c r="F8" s="20" t="s">
        <v>127</v>
      </c>
      <c r="G8" s="20"/>
      <c r="H8" s="20" t="s">
        <v>127</v>
      </c>
      <c r="I8" s="8">
        <f t="shared" si="0"/>
        <v>2</v>
      </c>
      <c r="J8" s="15" t="s">
        <v>107</v>
      </c>
    </row>
    <row r="9" spans="1:10" ht="41.4">
      <c r="A9" s="7">
        <v>7</v>
      </c>
      <c r="B9" s="8" t="s">
        <v>110</v>
      </c>
      <c r="C9" s="20"/>
      <c r="D9" s="20"/>
      <c r="E9" s="20"/>
      <c r="F9" s="20"/>
      <c r="G9" s="20" t="s">
        <v>127</v>
      </c>
      <c r="H9" s="20" t="s">
        <v>127</v>
      </c>
      <c r="I9" s="8">
        <f t="shared" si="0"/>
        <v>2</v>
      </c>
      <c r="J9" s="15" t="s">
        <v>111</v>
      </c>
    </row>
    <row r="10" spans="1:10" ht="41.4">
      <c r="A10" s="7">
        <v>8</v>
      </c>
      <c r="B10" s="8" t="s">
        <v>114</v>
      </c>
      <c r="C10" s="20" t="s">
        <v>127</v>
      </c>
      <c r="D10" s="20" t="s">
        <v>127</v>
      </c>
      <c r="E10" s="20"/>
      <c r="F10" s="20"/>
      <c r="G10" s="20" t="s">
        <v>127</v>
      </c>
      <c r="H10" s="20"/>
      <c r="I10" s="8">
        <f t="shared" si="0"/>
        <v>3</v>
      </c>
      <c r="J10" s="15" t="s">
        <v>115</v>
      </c>
    </row>
    <row r="11" spans="1:10" ht="41.4">
      <c r="A11" s="7">
        <v>9</v>
      </c>
      <c r="B11" s="8" t="s">
        <v>118</v>
      </c>
      <c r="C11" s="20" t="s">
        <v>127</v>
      </c>
      <c r="D11" s="20"/>
      <c r="E11" s="20"/>
      <c r="F11" s="20" t="s">
        <v>127</v>
      </c>
      <c r="G11" s="20"/>
      <c r="H11" s="20" t="s">
        <v>127</v>
      </c>
      <c r="I11" s="8">
        <f t="shared" si="0"/>
        <v>3</v>
      </c>
      <c r="J11" s="15" t="s">
        <v>119</v>
      </c>
    </row>
    <row r="12" spans="1:10" ht="41.4">
      <c r="A12" s="7">
        <v>10</v>
      </c>
      <c r="B12" s="8" t="s">
        <v>121</v>
      </c>
      <c r="C12" s="20" t="s">
        <v>127</v>
      </c>
      <c r="D12" s="20" t="s">
        <v>127</v>
      </c>
      <c r="E12" s="20" t="s">
        <v>127</v>
      </c>
      <c r="F12" s="20" t="s">
        <v>127</v>
      </c>
      <c r="G12" s="20" t="s">
        <v>127</v>
      </c>
      <c r="H12" s="20" t="s">
        <v>127</v>
      </c>
      <c r="I12" s="8">
        <f t="shared" si="0"/>
        <v>6</v>
      </c>
      <c r="J12" s="15" t="s">
        <v>122</v>
      </c>
    </row>
    <row r="13" spans="1:10">
      <c r="A13" s="56" t="s">
        <v>128</v>
      </c>
      <c r="B13" s="57"/>
      <c r="C13" s="18">
        <f t="shared" ref="C13:H13" si="1">COUNTIF(C3:C12,"V")</f>
        <v>7</v>
      </c>
      <c r="D13" s="18">
        <f t="shared" si="1"/>
        <v>4</v>
      </c>
      <c r="E13" s="18">
        <f t="shared" si="1"/>
        <v>4</v>
      </c>
      <c r="F13" s="18">
        <f t="shared" si="1"/>
        <v>5</v>
      </c>
      <c r="G13" s="18">
        <f t="shared" si="1"/>
        <v>4</v>
      </c>
      <c r="H13" s="18">
        <f t="shared" si="1"/>
        <v>6</v>
      </c>
      <c r="I13" s="18">
        <f>SUM(C13:H13)</f>
        <v>30</v>
      </c>
      <c r="J13" s="19" t="s">
        <v>129</v>
      </c>
    </row>
  </sheetData>
  <mergeCells count="2">
    <mergeCell ref="A1:J1"/>
    <mergeCell ref="A13:B13"/>
  </mergeCells>
  <conditionalFormatting sqref="C3:H12">
    <cfRule type="expression" dxfId="16" priority="1">
      <formula>C3="V"</formula>
    </cfRule>
  </conditionalFormatting>
  <conditionalFormatting sqref="C13:H13">
    <cfRule type="cellIs" dxfId="15" priority="2" operator="lessThan">
      <formula>3</formula>
    </cfRule>
  </conditionalFormatting>
  <pageMargins left="0.7" right="0.7" top="0.75" bottom="0.75" header="0.3" footer="0.3"/>
  <pageSetup paperSize="9" scale="8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59"/>
  <sheetViews>
    <sheetView topLeftCell="A10" workbookViewId="0">
      <selection sqref="A1:Q1"/>
    </sheetView>
  </sheetViews>
  <sheetFormatPr defaultRowHeight="13.8"/>
  <cols>
    <col min="1" max="1" width="6" customWidth="1"/>
    <col min="2" max="2" width="12" customWidth="1"/>
    <col min="3" max="3" width="48" customWidth="1"/>
    <col min="4" max="5" width="7" customWidth="1"/>
    <col min="6" max="15" width="9" customWidth="1"/>
    <col min="16" max="16" width="11" customWidth="1"/>
    <col min="17" max="17" width="36" customWidth="1"/>
  </cols>
  <sheetData>
    <row r="1" spans="1:17" ht="22.35" customHeight="1">
      <c r="A1" s="54" t="s">
        <v>130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1:17" ht="27.6">
      <c r="A2" s="4" t="s">
        <v>1</v>
      </c>
      <c r="B2" s="5" t="s">
        <v>131</v>
      </c>
      <c r="C2" s="5" t="s">
        <v>132</v>
      </c>
      <c r="D2" s="5" t="s">
        <v>133</v>
      </c>
      <c r="E2" s="5" t="s">
        <v>134</v>
      </c>
      <c r="F2" s="5" t="s">
        <v>85</v>
      </c>
      <c r="G2" s="5" t="s">
        <v>90</v>
      </c>
      <c r="H2" s="5" t="s">
        <v>94</v>
      </c>
      <c r="I2" s="5" t="s">
        <v>98</v>
      </c>
      <c r="J2" s="5" t="s">
        <v>102</v>
      </c>
      <c r="K2" s="5" t="s">
        <v>106</v>
      </c>
      <c r="L2" s="5" t="s">
        <v>110</v>
      </c>
      <c r="M2" s="5" t="s">
        <v>114</v>
      </c>
      <c r="N2" s="5" t="s">
        <v>118</v>
      </c>
      <c r="O2" s="5" t="s">
        <v>121</v>
      </c>
      <c r="P2" s="5" t="s">
        <v>135</v>
      </c>
      <c r="Q2" s="6" t="s">
        <v>5</v>
      </c>
    </row>
    <row r="3" spans="1:17">
      <c r="A3" s="7">
        <v>1</v>
      </c>
      <c r="B3" s="8" t="s">
        <v>136</v>
      </c>
      <c r="C3" s="13" t="s">
        <v>137</v>
      </c>
      <c r="D3" s="8">
        <v>1</v>
      </c>
      <c r="E3" s="8">
        <v>2</v>
      </c>
      <c r="F3" s="20"/>
      <c r="G3" s="20"/>
      <c r="H3" s="20"/>
      <c r="I3" s="20"/>
      <c r="J3" s="20"/>
      <c r="K3" s="20"/>
      <c r="L3" s="20"/>
      <c r="M3" s="20"/>
      <c r="N3" s="20"/>
      <c r="O3" s="20" t="s">
        <v>127</v>
      </c>
      <c r="P3" s="8">
        <f t="shared" ref="P3:P34" si="0">COUNTIF(F3:O3,"V")</f>
        <v>1</v>
      </c>
      <c r="Q3" s="9"/>
    </row>
    <row r="4" spans="1:17">
      <c r="A4" s="7">
        <v>2</v>
      </c>
      <c r="B4" s="8" t="s">
        <v>138</v>
      </c>
      <c r="C4" s="13" t="s">
        <v>139</v>
      </c>
      <c r="D4" s="8">
        <v>1</v>
      </c>
      <c r="E4" s="8">
        <v>2</v>
      </c>
      <c r="F4" s="20"/>
      <c r="G4" s="20"/>
      <c r="H4" s="20"/>
      <c r="I4" s="20"/>
      <c r="J4" s="20"/>
      <c r="K4" s="20"/>
      <c r="L4" s="20" t="s">
        <v>127</v>
      </c>
      <c r="M4" s="20"/>
      <c r="N4" s="20"/>
      <c r="O4" s="20" t="s">
        <v>127</v>
      </c>
      <c r="P4" s="8">
        <f t="shared" si="0"/>
        <v>2</v>
      </c>
      <c r="Q4" s="9"/>
    </row>
    <row r="5" spans="1:17">
      <c r="A5" s="7">
        <v>3</v>
      </c>
      <c r="B5" s="8" t="s">
        <v>140</v>
      </c>
      <c r="C5" s="13" t="s">
        <v>141</v>
      </c>
      <c r="D5" s="8">
        <v>1</v>
      </c>
      <c r="E5" s="8">
        <v>2</v>
      </c>
      <c r="F5" s="20"/>
      <c r="G5" s="20"/>
      <c r="H5" s="20"/>
      <c r="I5" s="20"/>
      <c r="J5" s="20"/>
      <c r="K5" s="20"/>
      <c r="L5" s="20"/>
      <c r="M5" s="20"/>
      <c r="N5" s="20" t="s">
        <v>127</v>
      </c>
      <c r="O5" s="20" t="s">
        <v>127</v>
      </c>
      <c r="P5" s="8">
        <f t="shared" si="0"/>
        <v>2</v>
      </c>
      <c r="Q5" s="9"/>
    </row>
    <row r="6" spans="1:17">
      <c r="A6" s="7">
        <v>4</v>
      </c>
      <c r="B6" s="8" t="s">
        <v>142</v>
      </c>
      <c r="C6" s="13" t="s">
        <v>143</v>
      </c>
      <c r="D6" s="8">
        <v>1</v>
      </c>
      <c r="E6" s="8">
        <v>3</v>
      </c>
      <c r="F6" s="20" t="s">
        <v>127</v>
      </c>
      <c r="G6" s="20"/>
      <c r="H6" s="20"/>
      <c r="I6" s="20"/>
      <c r="J6" s="20"/>
      <c r="K6" s="20"/>
      <c r="L6" s="20" t="s">
        <v>127</v>
      </c>
      <c r="M6" s="20"/>
      <c r="N6" s="20"/>
      <c r="O6" s="20"/>
      <c r="P6" s="8">
        <f t="shared" si="0"/>
        <v>2</v>
      </c>
      <c r="Q6" s="9"/>
    </row>
    <row r="7" spans="1:17">
      <c r="A7" s="7">
        <v>5</v>
      </c>
      <c r="B7" s="8" t="s">
        <v>144</v>
      </c>
      <c r="C7" s="13" t="s">
        <v>145</v>
      </c>
      <c r="D7" s="8">
        <v>1</v>
      </c>
      <c r="E7" s="8">
        <v>3</v>
      </c>
      <c r="F7" s="20"/>
      <c r="G7" s="20" t="s">
        <v>127</v>
      </c>
      <c r="H7" s="20"/>
      <c r="I7" s="20"/>
      <c r="J7" s="20"/>
      <c r="K7" s="20"/>
      <c r="L7" s="20"/>
      <c r="M7" s="20"/>
      <c r="N7" s="20" t="s">
        <v>127</v>
      </c>
      <c r="O7" s="20"/>
      <c r="P7" s="8">
        <f t="shared" si="0"/>
        <v>2</v>
      </c>
      <c r="Q7" s="9"/>
    </row>
    <row r="8" spans="1:17">
      <c r="A8" s="7">
        <v>6</v>
      </c>
      <c r="B8" s="8" t="s">
        <v>146</v>
      </c>
      <c r="C8" s="13" t="s">
        <v>147</v>
      </c>
      <c r="D8" s="8">
        <v>1</v>
      </c>
      <c r="E8" s="8">
        <v>2</v>
      </c>
      <c r="F8" s="20"/>
      <c r="G8" s="20"/>
      <c r="H8" s="20"/>
      <c r="I8" s="20"/>
      <c r="J8" s="20"/>
      <c r="K8" s="20"/>
      <c r="L8" s="20"/>
      <c r="M8" s="20"/>
      <c r="N8" s="20" t="s">
        <v>127</v>
      </c>
      <c r="O8" s="20"/>
      <c r="P8" s="8">
        <f t="shared" si="0"/>
        <v>1</v>
      </c>
      <c r="Q8" s="9"/>
    </row>
    <row r="9" spans="1:17">
      <c r="A9" s="7">
        <v>7</v>
      </c>
      <c r="B9" s="8" t="s">
        <v>148</v>
      </c>
      <c r="C9" s="13" t="s">
        <v>149</v>
      </c>
      <c r="D9" s="8">
        <v>1</v>
      </c>
      <c r="E9" s="8">
        <v>4</v>
      </c>
      <c r="F9" s="20"/>
      <c r="G9" s="20"/>
      <c r="H9" s="20"/>
      <c r="I9" s="20"/>
      <c r="J9" s="20"/>
      <c r="K9" s="20"/>
      <c r="L9" s="20"/>
      <c r="M9" s="20"/>
      <c r="N9" s="20" t="s">
        <v>127</v>
      </c>
      <c r="O9" s="20"/>
      <c r="P9" s="8">
        <f t="shared" si="0"/>
        <v>1</v>
      </c>
      <c r="Q9" s="9"/>
    </row>
    <row r="10" spans="1:17">
      <c r="A10" s="7">
        <v>8</v>
      </c>
      <c r="B10" s="8" t="s">
        <v>150</v>
      </c>
      <c r="C10" s="13" t="s">
        <v>151</v>
      </c>
      <c r="D10" s="8">
        <v>2</v>
      </c>
      <c r="E10" s="8">
        <v>2</v>
      </c>
      <c r="F10" s="20"/>
      <c r="G10" s="20"/>
      <c r="H10" s="20"/>
      <c r="I10" s="20"/>
      <c r="J10" s="20"/>
      <c r="K10" s="20"/>
      <c r="L10" s="20"/>
      <c r="M10" s="20"/>
      <c r="N10" s="20"/>
      <c r="O10" s="20" t="s">
        <v>127</v>
      </c>
      <c r="P10" s="8">
        <f t="shared" si="0"/>
        <v>1</v>
      </c>
      <c r="Q10" s="9"/>
    </row>
    <row r="11" spans="1:17">
      <c r="A11" s="7">
        <v>9</v>
      </c>
      <c r="B11" s="8" t="s">
        <v>152</v>
      </c>
      <c r="C11" s="13" t="s">
        <v>153</v>
      </c>
      <c r="D11" s="8">
        <v>2</v>
      </c>
      <c r="E11" s="8">
        <v>2</v>
      </c>
      <c r="F11" s="20"/>
      <c r="G11" s="20"/>
      <c r="H11" s="20"/>
      <c r="I11" s="20"/>
      <c r="J11" s="20"/>
      <c r="K11" s="20"/>
      <c r="L11" s="20"/>
      <c r="M11" s="20" t="s">
        <v>127</v>
      </c>
      <c r="N11" s="20"/>
      <c r="O11" s="20" t="s">
        <v>127</v>
      </c>
      <c r="P11" s="8">
        <f t="shared" si="0"/>
        <v>2</v>
      </c>
      <c r="Q11" s="9"/>
    </row>
    <row r="12" spans="1:17">
      <c r="A12" s="7">
        <v>10</v>
      </c>
      <c r="B12" s="8" t="s">
        <v>154</v>
      </c>
      <c r="C12" s="13" t="s">
        <v>155</v>
      </c>
      <c r="D12" s="8">
        <v>2</v>
      </c>
      <c r="E12" s="8">
        <v>2</v>
      </c>
      <c r="F12" s="20"/>
      <c r="G12" s="20"/>
      <c r="H12" s="20"/>
      <c r="I12" s="20"/>
      <c r="J12" s="20"/>
      <c r="K12" s="20"/>
      <c r="L12" s="20"/>
      <c r="M12" s="20"/>
      <c r="N12" s="20" t="s">
        <v>127</v>
      </c>
      <c r="O12" s="20"/>
      <c r="P12" s="8">
        <f t="shared" si="0"/>
        <v>1</v>
      </c>
      <c r="Q12" s="9"/>
    </row>
    <row r="13" spans="1:17">
      <c r="A13" s="7">
        <v>11</v>
      </c>
      <c r="B13" s="8" t="s">
        <v>156</v>
      </c>
      <c r="C13" s="13" t="s">
        <v>157</v>
      </c>
      <c r="D13" s="8">
        <v>2</v>
      </c>
      <c r="E13" s="8">
        <v>3</v>
      </c>
      <c r="F13" s="20"/>
      <c r="G13" s="20" t="s">
        <v>127</v>
      </c>
      <c r="H13" s="20"/>
      <c r="I13" s="20"/>
      <c r="J13" s="20"/>
      <c r="K13" s="20" t="s">
        <v>127</v>
      </c>
      <c r="L13" s="20"/>
      <c r="M13" s="20"/>
      <c r="N13" s="20"/>
      <c r="O13" s="20"/>
      <c r="P13" s="8">
        <f t="shared" si="0"/>
        <v>2</v>
      </c>
      <c r="Q13" s="9"/>
    </row>
    <row r="14" spans="1:17">
      <c r="A14" s="7">
        <v>12</v>
      </c>
      <c r="B14" s="8" t="s">
        <v>158</v>
      </c>
      <c r="C14" s="13" t="s">
        <v>159</v>
      </c>
      <c r="D14" s="8">
        <v>2</v>
      </c>
      <c r="E14" s="8">
        <v>3</v>
      </c>
      <c r="F14" s="20"/>
      <c r="G14" s="20" t="s">
        <v>127</v>
      </c>
      <c r="H14" s="20"/>
      <c r="I14" s="20"/>
      <c r="J14" s="20"/>
      <c r="K14" s="20"/>
      <c r="L14" s="20"/>
      <c r="M14" s="20"/>
      <c r="N14" s="20" t="s">
        <v>127</v>
      </c>
      <c r="O14" s="20"/>
      <c r="P14" s="8">
        <f t="shared" si="0"/>
        <v>2</v>
      </c>
      <c r="Q14" s="9"/>
    </row>
    <row r="15" spans="1:17">
      <c r="A15" s="7">
        <v>13</v>
      </c>
      <c r="B15" s="8" t="s">
        <v>160</v>
      </c>
      <c r="C15" s="13" t="s">
        <v>161</v>
      </c>
      <c r="D15" s="8">
        <v>2</v>
      </c>
      <c r="E15" s="8">
        <v>2</v>
      </c>
      <c r="F15" s="20"/>
      <c r="G15" s="20"/>
      <c r="H15" s="20" t="s">
        <v>127</v>
      </c>
      <c r="I15" s="20" t="s">
        <v>127</v>
      </c>
      <c r="J15" s="20"/>
      <c r="K15" s="20" t="s">
        <v>127</v>
      </c>
      <c r="L15" s="20"/>
      <c r="M15" s="20"/>
      <c r="N15" s="20"/>
      <c r="O15" s="20"/>
      <c r="P15" s="8">
        <f t="shared" si="0"/>
        <v>3</v>
      </c>
      <c r="Q15" s="9"/>
    </row>
    <row r="16" spans="1:17">
      <c r="A16" s="7">
        <v>14</v>
      </c>
      <c r="B16" s="8" t="s">
        <v>162</v>
      </c>
      <c r="C16" s="13" t="s">
        <v>163</v>
      </c>
      <c r="D16" s="8">
        <v>2</v>
      </c>
      <c r="E16" s="8">
        <v>4</v>
      </c>
      <c r="F16" s="20"/>
      <c r="G16" s="20"/>
      <c r="H16" s="20"/>
      <c r="I16" s="20"/>
      <c r="J16" s="20"/>
      <c r="K16" s="20"/>
      <c r="L16" s="20"/>
      <c r="M16" s="20"/>
      <c r="N16" s="20" t="s">
        <v>127</v>
      </c>
      <c r="O16" s="20"/>
      <c r="P16" s="8">
        <f t="shared" si="0"/>
        <v>1</v>
      </c>
      <c r="Q16" s="9"/>
    </row>
    <row r="17" spans="1:17">
      <c r="A17" s="7">
        <v>15</v>
      </c>
      <c r="B17" s="8" t="s">
        <v>164</v>
      </c>
      <c r="C17" s="13" t="s">
        <v>165</v>
      </c>
      <c r="D17" s="8">
        <v>3</v>
      </c>
      <c r="E17" s="8">
        <v>3</v>
      </c>
      <c r="F17" s="20" t="s">
        <v>127</v>
      </c>
      <c r="G17" s="20" t="s">
        <v>127</v>
      </c>
      <c r="H17" s="20"/>
      <c r="I17" s="20"/>
      <c r="J17" s="20"/>
      <c r="K17" s="20"/>
      <c r="L17" s="20"/>
      <c r="M17" s="20"/>
      <c r="N17" s="20"/>
      <c r="O17" s="20" t="s">
        <v>127</v>
      </c>
      <c r="P17" s="8">
        <f t="shared" si="0"/>
        <v>3</v>
      </c>
      <c r="Q17" s="9"/>
    </row>
    <row r="18" spans="1:17">
      <c r="A18" s="7">
        <v>16</v>
      </c>
      <c r="B18" s="8" t="s">
        <v>166</v>
      </c>
      <c r="C18" s="13" t="s">
        <v>167</v>
      </c>
      <c r="D18" s="8">
        <v>3</v>
      </c>
      <c r="E18" s="8">
        <v>3</v>
      </c>
      <c r="F18" s="20"/>
      <c r="G18" s="20" t="s">
        <v>127</v>
      </c>
      <c r="H18" s="20"/>
      <c r="I18" s="20"/>
      <c r="J18" s="20" t="s">
        <v>127</v>
      </c>
      <c r="K18" s="20"/>
      <c r="L18" s="20"/>
      <c r="M18" s="20"/>
      <c r="N18" s="20"/>
      <c r="O18" s="20"/>
      <c r="P18" s="8">
        <f t="shared" si="0"/>
        <v>2</v>
      </c>
      <c r="Q18" s="9"/>
    </row>
    <row r="19" spans="1:17">
      <c r="A19" s="7">
        <v>17</v>
      </c>
      <c r="B19" s="8" t="s">
        <v>168</v>
      </c>
      <c r="C19" s="13" t="s">
        <v>169</v>
      </c>
      <c r="D19" s="8">
        <v>3</v>
      </c>
      <c r="E19" s="8">
        <v>3</v>
      </c>
      <c r="F19" s="20"/>
      <c r="G19" s="20" t="s">
        <v>127</v>
      </c>
      <c r="H19" s="20"/>
      <c r="I19" s="20" t="s">
        <v>127</v>
      </c>
      <c r="J19" s="20"/>
      <c r="K19" s="20"/>
      <c r="L19" s="20"/>
      <c r="M19" s="20"/>
      <c r="N19" s="20"/>
      <c r="O19" s="20"/>
      <c r="P19" s="8">
        <f t="shared" si="0"/>
        <v>2</v>
      </c>
      <c r="Q19" s="9"/>
    </row>
    <row r="20" spans="1:17">
      <c r="A20" s="7">
        <v>18</v>
      </c>
      <c r="B20" s="8" t="s">
        <v>170</v>
      </c>
      <c r="C20" s="13" t="s">
        <v>171</v>
      </c>
      <c r="D20" s="8">
        <v>3</v>
      </c>
      <c r="E20" s="8">
        <v>2</v>
      </c>
      <c r="F20" s="20"/>
      <c r="G20" s="20"/>
      <c r="H20" s="20"/>
      <c r="I20" s="20"/>
      <c r="J20" s="20" t="s">
        <v>127</v>
      </c>
      <c r="K20" s="20"/>
      <c r="L20" s="20" t="s">
        <v>127</v>
      </c>
      <c r="M20" s="20"/>
      <c r="N20" s="20"/>
      <c r="O20" s="20"/>
      <c r="P20" s="8">
        <f t="shared" si="0"/>
        <v>2</v>
      </c>
      <c r="Q20" s="9"/>
    </row>
    <row r="21" spans="1:17">
      <c r="A21" s="7">
        <v>19</v>
      </c>
      <c r="B21" s="8" t="s">
        <v>172</v>
      </c>
      <c r="C21" s="13" t="s">
        <v>173</v>
      </c>
      <c r="D21" s="8">
        <v>3</v>
      </c>
      <c r="E21" s="8">
        <v>3</v>
      </c>
      <c r="F21" s="20"/>
      <c r="G21" s="20"/>
      <c r="H21" s="20"/>
      <c r="I21" s="20" t="s">
        <v>127</v>
      </c>
      <c r="J21" s="20"/>
      <c r="K21" s="20"/>
      <c r="L21" s="20"/>
      <c r="M21" s="20"/>
      <c r="N21" s="20"/>
      <c r="O21" s="20" t="s">
        <v>127</v>
      </c>
      <c r="P21" s="8">
        <f t="shared" si="0"/>
        <v>2</v>
      </c>
      <c r="Q21" s="9"/>
    </row>
    <row r="22" spans="1:17">
      <c r="A22" s="7">
        <v>20</v>
      </c>
      <c r="B22" s="8" t="s">
        <v>174</v>
      </c>
      <c r="C22" s="13" t="s">
        <v>175</v>
      </c>
      <c r="D22" s="8">
        <v>3</v>
      </c>
      <c r="E22" s="8">
        <v>2</v>
      </c>
      <c r="F22" s="20"/>
      <c r="G22" s="20"/>
      <c r="H22" s="20"/>
      <c r="I22" s="20"/>
      <c r="J22" s="20"/>
      <c r="K22" s="20"/>
      <c r="L22" s="20" t="s">
        <v>127</v>
      </c>
      <c r="M22" s="20"/>
      <c r="N22" s="20"/>
      <c r="O22" s="20" t="s">
        <v>127</v>
      </c>
      <c r="P22" s="8">
        <f t="shared" si="0"/>
        <v>2</v>
      </c>
      <c r="Q22" s="9"/>
    </row>
    <row r="23" spans="1:17">
      <c r="A23" s="7">
        <v>21</v>
      </c>
      <c r="B23" s="8" t="s">
        <v>176</v>
      </c>
      <c r="C23" s="13" t="s">
        <v>177</v>
      </c>
      <c r="D23" s="8">
        <v>3</v>
      </c>
      <c r="E23" s="8">
        <v>2</v>
      </c>
      <c r="F23" s="20"/>
      <c r="G23" s="20"/>
      <c r="H23" s="20"/>
      <c r="I23" s="20" t="s">
        <v>127</v>
      </c>
      <c r="J23" s="20" t="s">
        <v>127</v>
      </c>
      <c r="K23" s="20"/>
      <c r="L23" s="20"/>
      <c r="M23" s="20"/>
      <c r="N23" s="20"/>
      <c r="O23" s="20"/>
      <c r="P23" s="8">
        <f t="shared" si="0"/>
        <v>2</v>
      </c>
      <c r="Q23" s="9"/>
    </row>
    <row r="24" spans="1:17">
      <c r="A24" s="7">
        <v>22</v>
      </c>
      <c r="B24" s="8" t="s">
        <v>178</v>
      </c>
      <c r="C24" s="13" t="s">
        <v>179</v>
      </c>
      <c r="D24" s="8">
        <v>3</v>
      </c>
      <c r="E24" s="8">
        <v>2</v>
      </c>
      <c r="F24" s="20"/>
      <c r="G24" s="20"/>
      <c r="H24" s="20" t="s">
        <v>127</v>
      </c>
      <c r="I24" s="20"/>
      <c r="J24" s="20"/>
      <c r="K24" s="20"/>
      <c r="L24" s="20"/>
      <c r="M24" s="20"/>
      <c r="N24" s="20" t="s">
        <v>127</v>
      </c>
      <c r="O24" s="20"/>
      <c r="P24" s="8">
        <f t="shared" si="0"/>
        <v>2</v>
      </c>
      <c r="Q24" s="9"/>
    </row>
    <row r="25" spans="1:17">
      <c r="A25" s="7">
        <v>23</v>
      </c>
      <c r="B25" s="8" t="s">
        <v>180</v>
      </c>
      <c r="C25" s="13" t="s">
        <v>181</v>
      </c>
      <c r="D25" s="8">
        <v>4</v>
      </c>
      <c r="E25" s="8">
        <v>2</v>
      </c>
      <c r="F25" s="20"/>
      <c r="G25" s="20"/>
      <c r="H25" s="20"/>
      <c r="I25" s="20"/>
      <c r="J25" s="20"/>
      <c r="K25" s="20"/>
      <c r="L25" s="20" t="s">
        <v>127</v>
      </c>
      <c r="M25" s="20"/>
      <c r="N25" s="20"/>
      <c r="O25" s="20" t="s">
        <v>127</v>
      </c>
      <c r="P25" s="8">
        <f t="shared" si="0"/>
        <v>2</v>
      </c>
      <c r="Q25" s="9"/>
    </row>
    <row r="26" spans="1:17">
      <c r="A26" s="7">
        <v>24</v>
      </c>
      <c r="B26" s="8" t="s">
        <v>182</v>
      </c>
      <c r="C26" s="13" t="s">
        <v>183</v>
      </c>
      <c r="D26" s="8">
        <v>4</v>
      </c>
      <c r="E26" s="8"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 t="s">
        <v>127</v>
      </c>
      <c r="P26" s="8">
        <f t="shared" si="0"/>
        <v>1</v>
      </c>
      <c r="Q26" s="9"/>
    </row>
    <row r="27" spans="1:17">
      <c r="A27" s="7">
        <v>25</v>
      </c>
      <c r="B27" s="8" t="s">
        <v>184</v>
      </c>
      <c r="C27" s="13" t="s">
        <v>185</v>
      </c>
      <c r="D27" s="8">
        <v>4</v>
      </c>
      <c r="E27" s="8">
        <v>2</v>
      </c>
      <c r="F27" s="20"/>
      <c r="G27" s="20"/>
      <c r="H27" s="20" t="s">
        <v>127</v>
      </c>
      <c r="I27" s="20"/>
      <c r="J27" s="20"/>
      <c r="K27" s="20"/>
      <c r="L27" s="20"/>
      <c r="M27" s="20"/>
      <c r="N27" s="20" t="s">
        <v>127</v>
      </c>
      <c r="O27" s="20"/>
      <c r="P27" s="8">
        <f t="shared" si="0"/>
        <v>2</v>
      </c>
      <c r="Q27" s="9"/>
    </row>
    <row r="28" spans="1:17">
      <c r="A28" s="7">
        <v>26</v>
      </c>
      <c r="B28" s="8" t="s">
        <v>186</v>
      </c>
      <c r="C28" s="13" t="s">
        <v>187</v>
      </c>
      <c r="D28" s="8">
        <v>4</v>
      </c>
      <c r="E28" s="8">
        <v>3</v>
      </c>
      <c r="F28" s="20"/>
      <c r="G28" s="20" t="s">
        <v>127</v>
      </c>
      <c r="H28" s="20"/>
      <c r="I28" s="20" t="s">
        <v>127</v>
      </c>
      <c r="J28" s="20"/>
      <c r="K28" s="20"/>
      <c r="L28" s="20"/>
      <c r="M28" s="20"/>
      <c r="N28" s="20"/>
      <c r="O28" s="20"/>
      <c r="P28" s="8">
        <f t="shared" si="0"/>
        <v>2</v>
      </c>
      <c r="Q28" s="9"/>
    </row>
    <row r="29" spans="1:17">
      <c r="A29" s="7">
        <v>27</v>
      </c>
      <c r="B29" s="8" t="s">
        <v>188</v>
      </c>
      <c r="C29" s="13" t="s">
        <v>189</v>
      </c>
      <c r="D29" s="8">
        <v>4</v>
      </c>
      <c r="E29" s="8">
        <v>2</v>
      </c>
      <c r="F29" s="20"/>
      <c r="G29" s="20"/>
      <c r="H29" s="20"/>
      <c r="I29" s="20"/>
      <c r="J29" s="20"/>
      <c r="K29" s="20" t="s">
        <v>127</v>
      </c>
      <c r="L29" s="20"/>
      <c r="M29" s="20"/>
      <c r="N29" s="20"/>
      <c r="O29" s="20"/>
      <c r="P29" s="8">
        <f t="shared" si="0"/>
        <v>1</v>
      </c>
      <c r="Q29" s="9"/>
    </row>
    <row r="30" spans="1:17">
      <c r="A30" s="7">
        <v>28</v>
      </c>
      <c r="B30" s="8" t="s">
        <v>190</v>
      </c>
      <c r="C30" s="13" t="s">
        <v>191</v>
      </c>
      <c r="D30" s="8">
        <v>4</v>
      </c>
      <c r="E30" s="8">
        <v>2</v>
      </c>
      <c r="F30" s="20"/>
      <c r="G30" s="20"/>
      <c r="H30" s="20"/>
      <c r="I30" s="20"/>
      <c r="J30" s="20"/>
      <c r="K30" s="20"/>
      <c r="L30" s="20"/>
      <c r="M30" s="20" t="s">
        <v>127</v>
      </c>
      <c r="N30" s="20"/>
      <c r="O30" s="20" t="s">
        <v>127</v>
      </c>
      <c r="P30" s="8">
        <f t="shared" si="0"/>
        <v>2</v>
      </c>
      <c r="Q30" s="9"/>
    </row>
    <row r="31" spans="1:17">
      <c r="A31" s="7">
        <v>29</v>
      </c>
      <c r="B31" s="8" t="s">
        <v>192</v>
      </c>
      <c r="C31" s="13" t="s">
        <v>193</v>
      </c>
      <c r="D31" s="8">
        <v>4</v>
      </c>
      <c r="E31" s="8">
        <v>3</v>
      </c>
      <c r="F31" s="20"/>
      <c r="G31" s="20"/>
      <c r="H31" s="20"/>
      <c r="I31" s="20"/>
      <c r="J31" s="20"/>
      <c r="K31" s="20"/>
      <c r="L31" s="20" t="s">
        <v>127</v>
      </c>
      <c r="M31" s="20" t="s">
        <v>127</v>
      </c>
      <c r="N31" s="20"/>
      <c r="O31" s="20"/>
      <c r="P31" s="8">
        <f t="shared" si="0"/>
        <v>2</v>
      </c>
      <c r="Q31" s="9"/>
    </row>
    <row r="32" spans="1:17">
      <c r="A32" s="7">
        <v>30</v>
      </c>
      <c r="B32" s="8" t="s">
        <v>194</v>
      </c>
      <c r="C32" s="13" t="s">
        <v>195</v>
      </c>
      <c r="D32" s="8">
        <v>4</v>
      </c>
      <c r="E32" s="8">
        <v>3</v>
      </c>
      <c r="F32" s="20"/>
      <c r="G32" s="20"/>
      <c r="H32" s="20"/>
      <c r="I32" s="20" t="s">
        <v>127</v>
      </c>
      <c r="J32" s="20"/>
      <c r="K32" s="20"/>
      <c r="L32" s="20"/>
      <c r="M32" s="20" t="s">
        <v>127</v>
      </c>
      <c r="N32" s="20"/>
      <c r="O32" s="20"/>
      <c r="P32" s="8">
        <f t="shared" si="0"/>
        <v>2</v>
      </c>
      <c r="Q32" s="9"/>
    </row>
    <row r="33" spans="1:17">
      <c r="A33" s="7">
        <v>31</v>
      </c>
      <c r="B33" s="8" t="s">
        <v>196</v>
      </c>
      <c r="C33" s="13" t="s">
        <v>197</v>
      </c>
      <c r="D33" s="8">
        <v>4</v>
      </c>
      <c r="E33" s="8">
        <v>3</v>
      </c>
      <c r="F33" s="20"/>
      <c r="G33" s="20"/>
      <c r="H33" s="20" t="s">
        <v>127</v>
      </c>
      <c r="I33" s="20"/>
      <c r="J33" s="20"/>
      <c r="K33" s="20"/>
      <c r="L33" s="20"/>
      <c r="M33" s="20"/>
      <c r="N33" s="20" t="s">
        <v>127</v>
      </c>
      <c r="O33" s="20"/>
      <c r="P33" s="8">
        <f t="shared" si="0"/>
        <v>2</v>
      </c>
      <c r="Q33" s="9"/>
    </row>
    <row r="34" spans="1:17">
      <c r="A34" s="7">
        <v>32</v>
      </c>
      <c r="B34" s="8" t="s">
        <v>198</v>
      </c>
      <c r="C34" s="13" t="s">
        <v>199</v>
      </c>
      <c r="D34" s="8">
        <v>5</v>
      </c>
      <c r="E34" s="8">
        <v>3</v>
      </c>
      <c r="F34" s="20"/>
      <c r="G34" s="20"/>
      <c r="H34" s="20"/>
      <c r="I34" s="20"/>
      <c r="J34" s="20"/>
      <c r="K34" s="20"/>
      <c r="L34" s="20"/>
      <c r="M34" s="20" t="s">
        <v>127</v>
      </c>
      <c r="N34" s="20"/>
      <c r="O34" s="20" t="s">
        <v>127</v>
      </c>
      <c r="P34" s="8">
        <f t="shared" si="0"/>
        <v>2</v>
      </c>
      <c r="Q34" s="9"/>
    </row>
    <row r="35" spans="1:17">
      <c r="A35" s="7">
        <v>33</v>
      </c>
      <c r="B35" s="8" t="s">
        <v>200</v>
      </c>
      <c r="C35" s="13" t="s">
        <v>201</v>
      </c>
      <c r="D35" s="8">
        <v>5</v>
      </c>
      <c r="E35" s="8">
        <v>0</v>
      </c>
      <c r="F35" s="20"/>
      <c r="G35" s="20"/>
      <c r="H35" s="20"/>
      <c r="I35" s="20"/>
      <c r="J35" s="20"/>
      <c r="K35" s="20"/>
      <c r="L35" s="20"/>
      <c r="M35" s="20" t="s">
        <v>127</v>
      </c>
      <c r="N35" s="20"/>
      <c r="O35" s="20" t="s">
        <v>127</v>
      </c>
      <c r="P35" s="8">
        <f t="shared" ref="P35:P66" si="1">COUNTIF(F35:O35,"V")</f>
        <v>2</v>
      </c>
      <c r="Q35" s="9"/>
    </row>
    <row r="36" spans="1:17">
      <c r="A36" s="7">
        <v>34</v>
      </c>
      <c r="B36" s="8" t="s">
        <v>202</v>
      </c>
      <c r="C36" s="13" t="s">
        <v>203</v>
      </c>
      <c r="D36" s="8">
        <v>5</v>
      </c>
      <c r="E36" s="8">
        <v>3</v>
      </c>
      <c r="F36" s="20"/>
      <c r="G36" s="20" t="s">
        <v>127</v>
      </c>
      <c r="H36" s="20"/>
      <c r="I36" s="20"/>
      <c r="J36" s="20" t="s">
        <v>127</v>
      </c>
      <c r="K36" s="20"/>
      <c r="L36" s="20"/>
      <c r="M36" s="20"/>
      <c r="N36" s="20"/>
      <c r="O36" s="20"/>
      <c r="P36" s="8">
        <f t="shared" si="1"/>
        <v>2</v>
      </c>
      <c r="Q36" s="9"/>
    </row>
    <row r="37" spans="1:17">
      <c r="A37" s="7">
        <v>35</v>
      </c>
      <c r="B37" s="8" t="s">
        <v>204</v>
      </c>
      <c r="C37" s="13" t="s">
        <v>205</v>
      </c>
      <c r="D37" s="8">
        <v>5</v>
      </c>
      <c r="E37" s="8">
        <v>3</v>
      </c>
      <c r="F37" s="20"/>
      <c r="G37" s="20" t="s">
        <v>127</v>
      </c>
      <c r="H37" s="20"/>
      <c r="I37" s="20"/>
      <c r="J37" s="20" t="s">
        <v>127</v>
      </c>
      <c r="K37" s="20"/>
      <c r="L37" s="20"/>
      <c r="M37" s="20"/>
      <c r="N37" s="20"/>
      <c r="O37" s="20"/>
      <c r="P37" s="8">
        <f t="shared" si="1"/>
        <v>2</v>
      </c>
      <c r="Q37" s="9"/>
    </row>
    <row r="38" spans="1:17">
      <c r="A38" s="7">
        <v>36</v>
      </c>
      <c r="B38" s="8" t="s">
        <v>206</v>
      </c>
      <c r="C38" s="13" t="s">
        <v>207</v>
      </c>
      <c r="D38" s="8">
        <v>5</v>
      </c>
      <c r="E38" s="8">
        <v>2</v>
      </c>
      <c r="F38" s="20"/>
      <c r="G38" s="20" t="s">
        <v>127</v>
      </c>
      <c r="H38" s="20"/>
      <c r="I38" s="20"/>
      <c r="J38" s="20" t="s">
        <v>127</v>
      </c>
      <c r="K38" s="20"/>
      <c r="L38" s="20" t="s">
        <v>127</v>
      </c>
      <c r="M38" s="20"/>
      <c r="N38" s="20"/>
      <c r="O38" s="20"/>
      <c r="P38" s="8">
        <f t="shared" si="1"/>
        <v>3</v>
      </c>
      <c r="Q38" s="9"/>
    </row>
    <row r="39" spans="1:17">
      <c r="A39" s="7">
        <v>37</v>
      </c>
      <c r="B39" s="8" t="s">
        <v>208</v>
      </c>
      <c r="C39" s="13" t="s">
        <v>209</v>
      </c>
      <c r="D39" s="8">
        <v>5</v>
      </c>
      <c r="E39" s="8">
        <v>2</v>
      </c>
      <c r="F39" s="20"/>
      <c r="G39" s="20"/>
      <c r="H39" s="20" t="s">
        <v>127</v>
      </c>
      <c r="I39" s="20"/>
      <c r="J39" s="20"/>
      <c r="K39" s="20" t="s">
        <v>127</v>
      </c>
      <c r="L39" s="20"/>
      <c r="M39" s="20"/>
      <c r="N39" s="20"/>
      <c r="O39" s="20"/>
      <c r="P39" s="8">
        <f t="shared" si="1"/>
        <v>2</v>
      </c>
      <c r="Q39" s="9"/>
    </row>
    <row r="40" spans="1:17">
      <c r="A40" s="7">
        <v>38</v>
      </c>
      <c r="B40" s="8" t="s">
        <v>210</v>
      </c>
      <c r="C40" s="13" t="s">
        <v>211</v>
      </c>
      <c r="D40" s="8">
        <v>5</v>
      </c>
      <c r="E40" s="8">
        <v>3</v>
      </c>
      <c r="F40" s="20"/>
      <c r="G40" s="20"/>
      <c r="H40" s="20"/>
      <c r="I40" s="20"/>
      <c r="J40" s="20" t="s">
        <v>127</v>
      </c>
      <c r="K40" s="20"/>
      <c r="L40" s="20" t="s">
        <v>127</v>
      </c>
      <c r="M40" s="20"/>
      <c r="N40" s="20"/>
      <c r="O40" s="20"/>
      <c r="P40" s="8">
        <f t="shared" si="1"/>
        <v>2</v>
      </c>
      <c r="Q40" s="9"/>
    </row>
    <row r="41" spans="1:17">
      <c r="A41" s="7">
        <v>39</v>
      </c>
      <c r="B41" s="8" t="s">
        <v>212</v>
      </c>
      <c r="C41" s="13" t="s">
        <v>213</v>
      </c>
      <c r="D41" s="8">
        <v>5</v>
      </c>
      <c r="E41" s="8">
        <v>3</v>
      </c>
      <c r="F41" s="20"/>
      <c r="G41" s="20"/>
      <c r="H41" s="20" t="s">
        <v>127</v>
      </c>
      <c r="I41" s="20"/>
      <c r="J41" s="20"/>
      <c r="K41" s="20" t="s">
        <v>127</v>
      </c>
      <c r="L41" s="20" t="s">
        <v>127</v>
      </c>
      <c r="M41" s="20"/>
      <c r="N41" s="20"/>
      <c r="O41" s="20"/>
      <c r="P41" s="8">
        <f t="shared" si="1"/>
        <v>3</v>
      </c>
      <c r="Q41" s="9"/>
    </row>
    <row r="42" spans="1:17">
      <c r="A42" s="7">
        <v>40</v>
      </c>
      <c r="B42" s="8" t="s">
        <v>214</v>
      </c>
      <c r="C42" s="13" t="s">
        <v>215</v>
      </c>
      <c r="D42" s="8">
        <v>5</v>
      </c>
      <c r="E42" s="8">
        <v>2</v>
      </c>
      <c r="F42" s="20"/>
      <c r="G42" s="20"/>
      <c r="H42" s="20"/>
      <c r="I42" s="20" t="s">
        <v>127</v>
      </c>
      <c r="J42" s="20" t="s">
        <v>127</v>
      </c>
      <c r="K42" s="20"/>
      <c r="L42" s="20"/>
      <c r="M42" s="20"/>
      <c r="N42" s="20"/>
      <c r="O42" s="20"/>
      <c r="P42" s="8">
        <f t="shared" si="1"/>
        <v>2</v>
      </c>
      <c r="Q42" s="9"/>
    </row>
    <row r="43" spans="1:17">
      <c r="A43" s="7">
        <v>41</v>
      </c>
      <c r="B43" s="8" t="s">
        <v>216</v>
      </c>
      <c r="C43" s="13" t="s">
        <v>217</v>
      </c>
      <c r="D43" s="8">
        <v>6</v>
      </c>
      <c r="E43" s="8">
        <v>3</v>
      </c>
      <c r="F43" s="20" t="s">
        <v>127</v>
      </c>
      <c r="G43" s="20" t="s">
        <v>127</v>
      </c>
      <c r="H43" s="20"/>
      <c r="I43" s="20"/>
      <c r="J43" s="20"/>
      <c r="K43" s="20"/>
      <c r="L43" s="20"/>
      <c r="M43" s="20" t="s">
        <v>127</v>
      </c>
      <c r="N43" s="20"/>
      <c r="O43" s="20" t="s">
        <v>127</v>
      </c>
      <c r="P43" s="8">
        <f t="shared" si="1"/>
        <v>4</v>
      </c>
      <c r="Q43" s="9"/>
    </row>
    <row r="44" spans="1:17">
      <c r="A44" s="7">
        <v>42</v>
      </c>
      <c r="B44" s="8" t="s">
        <v>218</v>
      </c>
      <c r="C44" s="13" t="s">
        <v>219</v>
      </c>
      <c r="D44" s="8">
        <v>6</v>
      </c>
      <c r="E44" s="8">
        <v>3</v>
      </c>
      <c r="F44" s="20" t="s">
        <v>127</v>
      </c>
      <c r="G44" s="20"/>
      <c r="H44" s="20" t="s">
        <v>127</v>
      </c>
      <c r="I44" s="20"/>
      <c r="J44" s="20"/>
      <c r="K44" s="20" t="s">
        <v>127</v>
      </c>
      <c r="L44" s="20"/>
      <c r="M44" s="20"/>
      <c r="N44" s="20"/>
      <c r="O44" s="20"/>
      <c r="P44" s="8">
        <f t="shared" si="1"/>
        <v>3</v>
      </c>
      <c r="Q44" s="9"/>
    </row>
    <row r="45" spans="1:17">
      <c r="A45" s="7">
        <v>43</v>
      </c>
      <c r="B45" s="8" t="s">
        <v>220</v>
      </c>
      <c r="C45" s="13" t="s">
        <v>221</v>
      </c>
      <c r="D45" s="8">
        <v>6</v>
      </c>
      <c r="E45" s="8">
        <v>3</v>
      </c>
      <c r="F45" s="20"/>
      <c r="G45" s="20"/>
      <c r="H45" s="20" t="s">
        <v>127</v>
      </c>
      <c r="I45" s="20"/>
      <c r="J45" s="20" t="s">
        <v>127</v>
      </c>
      <c r="K45" s="20"/>
      <c r="L45" s="20"/>
      <c r="M45" s="20"/>
      <c r="N45" s="20"/>
      <c r="O45" s="20"/>
      <c r="P45" s="8">
        <f t="shared" si="1"/>
        <v>2</v>
      </c>
      <c r="Q45" s="9"/>
    </row>
    <row r="46" spans="1:17">
      <c r="A46" s="7">
        <v>44</v>
      </c>
      <c r="B46" s="8" t="s">
        <v>222</v>
      </c>
      <c r="C46" s="13" t="s">
        <v>223</v>
      </c>
      <c r="D46" s="8">
        <v>6</v>
      </c>
      <c r="E46" s="8">
        <v>3</v>
      </c>
      <c r="F46" s="20"/>
      <c r="G46" s="20"/>
      <c r="H46" s="20"/>
      <c r="I46" s="20" t="s">
        <v>127</v>
      </c>
      <c r="J46" s="20"/>
      <c r="K46" s="20"/>
      <c r="L46" s="20"/>
      <c r="M46" s="20"/>
      <c r="N46" s="20" t="s">
        <v>127</v>
      </c>
      <c r="O46" s="20" t="s">
        <v>127</v>
      </c>
      <c r="P46" s="8">
        <f t="shared" si="1"/>
        <v>3</v>
      </c>
      <c r="Q46" s="9"/>
    </row>
    <row r="47" spans="1:17">
      <c r="A47" s="7">
        <v>45</v>
      </c>
      <c r="B47" s="8" t="s">
        <v>224</v>
      </c>
      <c r="C47" s="13" t="s">
        <v>225</v>
      </c>
      <c r="D47" s="8">
        <v>6</v>
      </c>
      <c r="E47" s="8">
        <v>3</v>
      </c>
      <c r="F47" s="20"/>
      <c r="G47" s="20"/>
      <c r="H47" s="20" t="s">
        <v>127</v>
      </c>
      <c r="I47" s="20"/>
      <c r="J47" s="20"/>
      <c r="K47" s="20"/>
      <c r="L47" s="20"/>
      <c r="M47" s="20"/>
      <c r="N47" s="20" t="s">
        <v>127</v>
      </c>
      <c r="O47" s="20"/>
      <c r="P47" s="8">
        <f t="shared" si="1"/>
        <v>2</v>
      </c>
      <c r="Q47" s="9"/>
    </row>
    <row r="48" spans="1:17">
      <c r="A48" s="7">
        <v>46</v>
      </c>
      <c r="B48" s="8" t="s">
        <v>226</v>
      </c>
      <c r="C48" s="13" t="s">
        <v>227</v>
      </c>
      <c r="D48" s="8">
        <v>6</v>
      </c>
      <c r="E48" s="8">
        <v>3</v>
      </c>
      <c r="F48" s="20" t="s">
        <v>127</v>
      </c>
      <c r="G48" s="20"/>
      <c r="H48" s="20"/>
      <c r="I48" s="20"/>
      <c r="J48" s="20"/>
      <c r="K48" s="20"/>
      <c r="L48" s="20" t="s">
        <v>127</v>
      </c>
      <c r="M48" s="20" t="s">
        <v>127</v>
      </c>
      <c r="N48" s="20"/>
      <c r="O48" s="20"/>
      <c r="P48" s="8">
        <f t="shared" si="1"/>
        <v>3</v>
      </c>
      <c r="Q48" s="9"/>
    </row>
    <row r="49" spans="1:17">
      <c r="A49" s="7">
        <v>47</v>
      </c>
      <c r="B49" s="8" t="s">
        <v>228</v>
      </c>
      <c r="C49" s="13" t="s">
        <v>229</v>
      </c>
      <c r="D49" s="8">
        <v>6</v>
      </c>
      <c r="E49" s="8">
        <v>3</v>
      </c>
      <c r="F49" s="20"/>
      <c r="G49" s="20"/>
      <c r="H49" s="20" t="s">
        <v>127</v>
      </c>
      <c r="I49" s="20"/>
      <c r="J49" s="20" t="s">
        <v>127</v>
      </c>
      <c r="K49" s="20"/>
      <c r="L49" s="20"/>
      <c r="M49" s="20"/>
      <c r="N49" s="20" t="s">
        <v>127</v>
      </c>
      <c r="O49" s="20"/>
      <c r="P49" s="8">
        <f t="shared" si="1"/>
        <v>3</v>
      </c>
      <c r="Q49" s="9"/>
    </row>
    <row r="50" spans="1:17">
      <c r="A50" s="7">
        <v>48</v>
      </c>
      <c r="B50" s="8" t="s">
        <v>230</v>
      </c>
      <c r="C50" s="13" t="s">
        <v>231</v>
      </c>
      <c r="D50" s="8">
        <v>7</v>
      </c>
      <c r="E50" s="8">
        <v>2</v>
      </c>
      <c r="F50" s="20"/>
      <c r="G50" s="20"/>
      <c r="H50" s="20"/>
      <c r="I50" s="20"/>
      <c r="J50" s="20"/>
      <c r="K50" s="20"/>
      <c r="L50" s="20"/>
      <c r="M50" s="20"/>
      <c r="N50" s="20" t="s">
        <v>127</v>
      </c>
      <c r="O50" s="20" t="s">
        <v>127</v>
      </c>
      <c r="P50" s="8">
        <f t="shared" si="1"/>
        <v>2</v>
      </c>
      <c r="Q50" s="9"/>
    </row>
    <row r="51" spans="1:17">
      <c r="A51" s="7">
        <v>49</v>
      </c>
      <c r="B51" s="8" t="s">
        <v>232</v>
      </c>
      <c r="C51" s="13" t="s">
        <v>233</v>
      </c>
      <c r="D51" s="8">
        <v>7</v>
      </c>
      <c r="E51" s="8">
        <v>3</v>
      </c>
      <c r="F51" s="20" t="s">
        <v>127</v>
      </c>
      <c r="G51" s="20" t="s">
        <v>127</v>
      </c>
      <c r="H51" s="20"/>
      <c r="I51" s="20"/>
      <c r="J51" s="20"/>
      <c r="K51" s="20"/>
      <c r="L51" s="20"/>
      <c r="M51" s="20"/>
      <c r="N51" s="20"/>
      <c r="O51" s="20" t="s">
        <v>127</v>
      </c>
      <c r="P51" s="8">
        <f t="shared" si="1"/>
        <v>3</v>
      </c>
      <c r="Q51" s="9"/>
    </row>
    <row r="52" spans="1:17">
      <c r="A52" s="7">
        <v>50</v>
      </c>
      <c r="B52" s="8" t="s">
        <v>234</v>
      </c>
      <c r="C52" s="13" t="s">
        <v>235</v>
      </c>
      <c r="D52" s="8">
        <v>7</v>
      </c>
      <c r="E52" s="8">
        <v>3</v>
      </c>
      <c r="F52" s="20"/>
      <c r="G52" s="20"/>
      <c r="H52" s="20"/>
      <c r="I52" s="20" t="s">
        <v>127</v>
      </c>
      <c r="J52" s="20"/>
      <c r="K52" s="20"/>
      <c r="L52" s="20"/>
      <c r="M52" s="20" t="s">
        <v>127</v>
      </c>
      <c r="N52" s="20"/>
      <c r="O52" s="20" t="s">
        <v>127</v>
      </c>
      <c r="P52" s="8">
        <f t="shared" si="1"/>
        <v>3</v>
      </c>
      <c r="Q52" s="9"/>
    </row>
    <row r="53" spans="1:17">
      <c r="A53" s="7">
        <v>51</v>
      </c>
      <c r="B53" s="8" t="s">
        <v>236</v>
      </c>
      <c r="C53" s="13" t="s">
        <v>237</v>
      </c>
      <c r="D53" s="8">
        <v>7</v>
      </c>
      <c r="E53" s="8">
        <v>3</v>
      </c>
      <c r="F53" s="20"/>
      <c r="G53" s="20"/>
      <c r="H53" s="20" t="s">
        <v>127</v>
      </c>
      <c r="I53" s="20" t="s">
        <v>127</v>
      </c>
      <c r="J53" s="20"/>
      <c r="K53" s="20" t="s">
        <v>127</v>
      </c>
      <c r="L53" s="20"/>
      <c r="M53" s="20"/>
      <c r="N53" s="20"/>
      <c r="O53" s="20"/>
      <c r="P53" s="8">
        <f t="shared" si="1"/>
        <v>3</v>
      </c>
      <c r="Q53" s="9"/>
    </row>
    <row r="54" spans="1:17">
      <c r="A54" s="7">
        <v>52</v>
      </c>
      <c r="B54" s="8" t="s">
        <v>238</v>
      </c>
      <c r="C54" s="13" t="s">
        <v>239</v>
      </c>
      <c r="D54" s="8">
        <v>7</v>
      </c>
      <c r="E54" s="8">
        <v>3</v>
      </c>
      <c r="F54" s="20"/>
      <c r="G54" s="20" t="s">
        <v>127</v>
      </c>
      <c r="H54" s="20" t="s">
        <v>127</v>
      </c>
      <c r="I54" s="20"/>
      <c r="J54" s="20" t="s">
        <v>127</v>
      </c>
      <c r="K54" s="20" t="s">
        <v>127</v>
      </c>
      <c r="L54" s="20"/>
      <c r="M54" s="20"/>
      <c r="N54" s="20"/>
      <c r="O54" s="20"/>
      <c r="P54" s="8">
        <f t="shared" si="1"/>
        <v>4</v>
      </c>
      <c r="Q54" s="9"/>
    </row>
    <row r="55" spans="1:17">
      <c r="A55" s="7">
        <v>53</v>
      </c>
      <c r="B55" s="8" t="s">
        <v>240</v>
      </c>
      <c r="C55" s="13" t="s">
        <v>241</v>
      </c>
      <c r="D55" s="8">
        <v>7</v>
      </c>
      <c r="E55" s="8">
        <v>3</v>
      </c>
      <c r="F55" s="20"/>
      <c r="G55" s="20"/>
      <c r="H55" s="20"/>
      <c r="I55" s="20"/>
      <c r="J55" s="20"/>
      <c r="K55" s="20"/>
      <c r="L55" s="20"/>
      <c r="M55" s="20" t="s">
        <v>127</v>
      </c>
      <c r="N55" s="20"/>
      <c r="O55" s="20" t="s">
        <v>127</v>
      </c>
      <c r="P55" s="8">
        <f t="shared" si="1"/>
        <v>2</v>
      </c>
      <c r="Q55" s="9"/>
    </row>
    <row r="56" spans="1:17">
      <c r="A56" s="7">
        <v>54</v>
      </c>
      <c r="B56" s="8" t="s">
        <v>242</v>
      </c>
      <c r="C56" s="13" t="s">
        <v>243</v>
      </c>
      <c r="D56" s="8">
        <v>7</v>
      </c>
      <c r="E56" s="8">
        <v>3</v>
      </c>
      <c r="F56" s="20"/>
      <c r="G56" s="20"/>
      <c r="H56" s="20"/>
      <c r="I56" s="20"/>
      <c r="J56" s="20"/>
      <c r="K56" s="20"/>
      <c r="L56" s="20" t="s">
        <v>127</v>
      </c>
      <c r="M56" s="20"/>
      <c r="N56" s="20" t="s">
        <v>127</v>
      </c>
      <c r="O56" s="20" t="s">
        <v>127</v>
      </c>
      <c r="P56" s="8">
        <f t="shared" si="1"/>
        <v>3</v>
      </c>
      <c r="Q56" s="9"/>
    </row>
    <row r="57" spans="1:17">
      <c r="A57" s="7">
        <v>55</v>
      </c>
      <c r="B57" s="8" t="s">
        <v>244</v>
      </c>
      <c r="C57" s="13" t="s">
        <v>245</v>
      </c>
      <c r="D57" s="8">
        <v>8</v>
      </c>
      <c r="E57" s="8">
        <v>6</v>
      </c>
      <c r="F57" s="20" t="s">
        <v>127</v>
      </c>
      <c r="G57" s="20"/>
      <c r="H57" s="20"/>
      <c r="I57" s="20"/>
      <c r="J57" s="20"/>
      <c r="K57" s="20"/>
      <c r="L57" s="20"/>
      <c r="M57" s="20"/>
      <c r="N57" s="20" t="s">
        <v>127</v>
      </c>
      <c r="O57" s="20" t="s">
        <v>127</v>
      </c>
      <c r="P57" s="8">
        <f t="shared" si="1"/>
        <v>3</v>
      </c>
      <c r="Q57" s="9"/>
    </row>
    <row r="58" spans="1:17">
      <c r="A58" s="7">
        <v>56</v>
      </c>
      <c r="B58" s="8" t="s">
        <v>246</v>
      </c>
      <c r="C58" s="13" t="s">
        <v>247</v>
      </c>
      <c r="D58" s="8">
        <v>8</v>
      </c>
      <c r="E58" s="8">
        <v>2</v>
      </c>
      <c r="F58" s="20"/>
      <c r="G58" s="20"/>
      <c r="H58" s="20"/>
      <c r="I58" s="20"/>
      <c r="J58" s="20"/>
      <c r="K58" s="20"/>
      <c r="L58" s="20"/>
      <c r="M58" s="20"/>
      <c r="N58" s="20" t="s">
        <v>127</v>
      </c>
      <c r="O58" s="20" t="s">
        <v>127</v>
      </c>
      <c r="P58" s="8">
        <f t="shared" si="1"/>
        <v>2</v>
      </c>
      <c r="Q58" s="9"/>
    </row>
    <row r="59" spans="1:17" ht="27.6">
      <c r="A59" s="56" t="s">
        <v>248</v>
      </c>
      <c r="B59" s="57"/>
      <c r="C59" s="57"/>
      <c r="D59" s="57"/>
      <c r="E59" s="57"/>
      <c r="F59" s="18">
        <f t="shared" ref="F59:O59" si="2">COUNTIF(F3:F58,"V")</f>
        <v>7</v>
      </c>
      <c r="G59" s="18">
        <f t="shared" si="2"/>
        <v>13</v>
      </c>
      <c r="H59" s="18">
        <f t="shared" si="2"/>
        <v>12</v>
      </c>
      <c r="I59" s="18">
        <f t="shared" si="2"/>
        <v>10</v>
      </c>
      <c r="J59" s="18">
        <f t="shared" si="2"/>
        <v>11</v>
      </c>
      <c r="K59" s="18">
        <f t="shared" si="2"/>
        <v>8</v>
      </c>
      <c r="L59" s="18">
        <f t="shared" si="2"/>
        <v>11</v>
      </c>
      <c r="M59" s="18">
        <f t="shared" si="2"/>
        <v>10</v>
      </c>
      <c r="N59" s="18">
        <f t="shared" si="2"/>
        <v>17</v>
      </c>
      <c r="O59" s="18">
        <f t="shared" si="2"/>
        <v>22</v>
      </c>
      <c r="P59" s="18">
        <f>SUM(F59:O59)</f>
        <v>121</v>
      </c>
      <c r="Q59" s="19" t="s">
        <v>249</v>
      </c>
    </row>
  </sheetData>
  <mergeCells count="2">
    <mergeCell ref="A1:Q1"/>
    <mergeCell ref="A59:E59"/>
  </mergeCells>
  <conditionalFormatting sqref="F3:O58">
    <cfRule type="expression" dxfId="14" priority="1">
      <formula>F3="V"</formula>
    </cfRule>
  </conditionalFormatting>
  <conditionalFormatting sqref="P3:P58">
    <cfRule type="cellIs" dxfId="13" priority="2" operator="greaterThan">
      <formula>4</formula>
    </cfRule>
  </conditionalFormatting>
  <pageMargins left="0.25" right="0.25" top="0.75" bottom="0.75" header="0.3" footer="0.3"/>
  <pageSetup paperSize="9" scale="57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11"/>
  <sheetViews>
    <sheetView workbookViewId="0"/>
  </sheetViews>
  <sheetFormatPr defaultRowHeight="13.8"/>
  <cols>
    <col min="1" max="1" width="10" customWidth="1"/>
    <col min="2" max="3" width="11" customWidth="1"/>
    <col min="4" max="4" width="78" customWidth="1"/>
    <col min="5" max="5" width="28" customWidth="1"/>
    <col min="6" max="6" width="38" customWidth="1"/>
  </cols>
  <sheetData>
    <row r="1" spans="1:6" ht="22.35" customHeight="1">
      <c r="A1" s="54" t="s">
        <v>250</v>
      </c>
      <c r="B1" s="54"/>
      <c r="C1" s="54"/>
      <c r="D1" s="54"/>
      <c r="E1" s="54"/>
      <c r="F1" s="54"/>
    </row>
    <row r="2" spans="1:6">
      <c r="A2" s="4" t="s">
        <v>251</v>
      </c>
      <c r="B2" s="5" t="s">
        <v>252</v>
      </c>
      <c r="C2" s="5" t="s">
        <v>253</v>
      </c>
      <c r="D2" s="5" t="s">
        <v>254</v>
      </c>
      <c r="E2" s="5" t="s">
        <v>255</v>
      </c>
      <c r="F2" s="6" t="s">
        <v>5</v>
      </c>
    </row>
    <row r="3" spans="1:6" ht="96.6">
      <c r="A3" s="7">
        <v>1</v>
      </c>
      <c r="B3" s="8">
        <v>7</v>
      </c>
      <c r="C3" s="8">
        <v>18</v>
      </c>
      <c r="D3" s="13" t="s">
        <v>256</v>
      </c>
      <c r="E3" s="13" t="s">
        <v>257</v>
      </c>
      <c r="F3" s="15"/>
    </row>
    <row r="4" spans="1:6" ht="96.6">
      <c r="A4" s="7">
        <v>2</v>
      </c>
      <c r="B4" s="8">
        <v>7</v>
      </c>
      <c r="C4" s="8">
        <v>18</v>
      </c>
      <c r="D4" s="13" t="s">
        <v>258</v>
      </c>
      <c r="E4" s="13" t="s">
        <v>259</v>
      </c>
      <c r="F4" s="15"/>
    </row>
    <row r="5" spans="1:6" ht="110.4">
      <c r="A5" s="7">
        <v>3</v>
      </c>
      <c r="B5" s="8">
        <v>8</v>
      </c>
      <c r="C5" s="8">
        <v>20</v>
      </c>
      <c r="D5" s="13" t="s">
        <v>260</v>
      </c>
      <c r="E5" s="13" t="s">
        <v>261</v>
      </c>
      <c r="F5" s="15"/>
    </row>
    <row r="6" spans="1:6" ht="124.2">
      <c r="A6" s="7">
        <v>4</v>
      </c>
      <c r="B6" s="8">
        <v>9</v>
      </c>
      <c r="C6" s="8">
        <v>20</v>
      </c>
      <c r="D6" s="13" t="s">
        <v>262</v>
      </c>
      <c r="E6" s="13" t="s">
        <v>263</v>
      </c>
      <c r="F6" s="15"/>
    </row>
    <row r="7" spans="1:6" ht="124.2">
      <c r="A7" s="7">
        <v>5</v>
      </c>
      <c r="B7" s="8">
        <v>9</v>
      </c>
      <c r="C7" s="8">
        <v>21</v>
      </c>
      <c r="D7" s="13" t="s">
        <v>264</v>
      </c>
      <c r="E7" s="13" t="s">
        <v>265</v>
      </c>
      <c r="F7" s="15"/>
    </row>
    <row r="8" spans="1:6" ht="96.6">
      <c r="A8" s="7">
        <v>6</v>
      </c>
      <c r="B8" s="8">
        <v>7</v>
      </c>
      <c r="C8" s="8">
        <v>21</v>
      </c>
      <c r="D8" s="13" t="s">
        <v>266</v>
      </c>
      <c r="E8" s="13" t="s">
        <v>267</v>
      </c>
      <c r="F8" s="15"/>
    </row>
    <row r="9" spans="1:6" ht="96.6">
      <c r="A9" s="7">
        <v>7</v>
      </c>
      <c r="B9" s="8">
        <v>7</v>
      </c>
      <c r="C9" s="8">
        <v>20</v>
      </c>
      <c r="D9" s="13" t="s">
        <v>268</v>
      </c>
      <c r="E9" s="13" t="s">
        <v>269</v>
      </c>
      <c r="F9" s="15"/>
    </row>
    <row r="10" spans="1:6" ht="27.6">
      <c r="A10" s="7">
        <v>8</v>
      </c>
      <c r="B10" s="8">
        <v>2</v>
      </c>
      <c r="C10" s="8">
        <v>8</v>
      </c>
      <c r="D10" s="13" t="s">
        <v>270</v>
      </c>
      <c r="E10" s="13" t="s">
        <v>271</v>
      </c>
      <c r="F10" s="15"/>
    </row>
    <row r="11" spans="1:6">
      <c r="A11" s="17" t="s">
        <v>272</v>
      </c>
      <c r="B11" s="18">
        <v>56</v>
      </c>
      <c r="C11" s="18">
        <v>146</v>
      </c>
      <c r="D11" s="18"/>
      <c r="E11" s="18"/>
      <c r="F11" s="19" t="s">
        <v>273</v>
      </c>
    </row>
  </sheetData>
  <mergeCells count="1">
    <mergeCell ref="A1:F1"/>
  </mergeCells>
  <pageMargins left="0.25" right="0.25" top="0.75" bottom="0.75" header="0.3" footer="0.3"/>
  <pageSetup paperSize="9" scale="7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62"/>
  <sheetViews>
    <sheetView workbookViewId="0"/>
  </sheetViews>
  <sheetFormatPr defaultRowHeight="13.8"/>
  <cols>
    <col min="1" max="1" width="12" customWidth="1"/>
    <col min="2" max="2" width="50" customWidth="1"/>
    <col min="3" max="4" width="7" customWidth="1"/>
    <col min="5" max="14" width="9" customWidth="1"/>
    <col min="15" max="15" width="11" customWidth="1"/>
  </cols>
  <sheetData>
    <row r="1" spans="1:15" ht="22.35" customHeight="1">
      <c r="A1" s="54" t="s">
        <v>274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ht="14.4">
      <c r="A2" s="55" t="s">
        <v>275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15" ht="27.6">
      <c r="A3" s="4" t="s">
        <v>131</v>
      </c>
      <c r="B3" s="5" t="s">
        <v>132</v>
      </c>
      <c r="C3" s="5" t="s">
        <v>134</v>
      </c>
      <c r="D3" s="5" t="s">
        <v>133</v>
      </c>
      <c r="E3" s="5" t="s">
        <v>85</v>
      </c>
      <c r="F3" s="5" t="s">
        <v>90</v>
      </c>
      <c r="G3" s="5" t="s">
        <v>94</v>
      </c>
      <c r="H3" s="5" t="s">
        <v>98</v>
      </c>
      <c r="I3" s="5" t="s">
        <v>102</v>
      </c>
      <c r="J3" s="5" t="s">
        <v>106</v>
      </c>
      <c r="K3" s="5" t="s">
        <v>110</v>
      </c>
      <c r="L3" s="5" t="s">
        <v>114</v>
      </c>
      <c r="M3" s="5" t="s">
        <v>118</v>
      </c>
      <c r="N3" s="5" t="s">
        <v>121</v>
      </c>
      <c r="O3" s="6" t="s">
        <v>135</v>
      </c>
    </row>
    <row r="4" spans="1:15">
      <c r="A4" s="7" t="s">
        <v>136</v>
      </c>
      <c r="B4" s="13" t="s">
        <v>137</v>
      </c>
      <c r="C4" s="8">
        <v>2</v>
      </c>
      <c r="D4" s="8">
        <v>1</v>
      </c>
      <c r="E4" s="20"/>
      <c r="F4" s="20"/>
      <c r="G4" s="20"/>
      <c r="H4" s="20"/>
      <c r="I4" s="20"/>
      <c r="J4" s="20"/>
      <c r="K4" s="20"/>
      <c r="L4" s="20"/>
      <c r="M4" s="20"/>
      <c r="N4" s="20" t="s">
        <v>276</v>
      </c>
      <c r="O4" s="9">
        <f t="shared" ref="O4:O35" si="0">COUNTA(E4:N4)</f>
        <v>1</v>
      </c>
    </row>
    <row r="5" spans="1:15">
      <c r="A5" s="7" t="s">
        <v>138</v>
      </c>
      <c r="B5" s="13" t="s">
        <v>139</v>
      </c>
      <c r="C5" s="8">
        <v>2</v>
      </c>
      <c r="D5" s="8">
        <v>1</v>
      </c>
      <c r="E5" s="20"/>
      <c r="F5" s="20"/>
      <c r="G5" s="20"/>
      <c r="H5" s="20"/>
      <c r="I5" s="20"/>
      <c r="J5" s="20"/>
      <c r="K5" s="20" t="s">
        <v>276</v>
      </c>
      <c r="L5" s="20"/>
      <c r="M5" s="20"/>
      <c r="N5" s="20" t="s">
        <v>276</v>
      </c>
      <c r="O5" s="9">
        <f t="shared" si="0"/>
        <v>2</v>
      </c>
    </row>
    <row r="6" spans="1:15">
      <c r="A6" s="7" t="s">
        <v>140</v>
      </c>
      <c r="B6" s="13" t="s">
        <v>141</v>
      </c>
      <c r="C6" s="8">
        <v>2</v>
      </c>
      <c r="D6" s="8">
        <v>1</v>
      </c>
      <c r="E6" s="20"/>
      <c r="F6" s="20"/>
      <c r="G6" s="20"/>
      <c r="H6" s="20"/>
      <c r="I6" s="20"/>
      <c r="J6" s="20"/>
      <c r="K6" s="20"/>
      <c r="L6" s="20"/>
      <c r="M6" s="20" t="s">
        <v>276</v>
      </c>
      <c r="N6" s="20" t="s">
        <v>276</v>
      </c>
      <c r="O6" s="9">
        <f t="shared" si="0"/>
        <v>2</v>
      </c>
    </row>
    <row r="7" spans="1:15">
      <c r="A7" s="7" t="s">
        <v>142</v>
      </c>
      <c r="B7" s="13" t="s">
        <v>143</v>
      </c>
      <c r="C7" s="8">
        <v>3</v>
      </c>
      <c r="D7" s="8">
        <v>1</v>
      </c>
      <c r="E7" s="20" t="s">
        <v>276</v>
      </c>
      <c r="F7" s="20"/>
      <c r="G7" s="20"/>
      <c r="H7" s="20"/>
      <c r="I7" s="20"/>
      <c r="J7" s="20"/>
      <c r="K7" s="20" t="s">
        <v>276</v>
      </c>
      <c r="L7" s="20"/>
      <c r="M7" s="20"/>
      <c r="N7" s="20"/>
      <c r="O7" s="9">
        <f t="shared" si="0"/>
        <v>2</v>
      </c>
    </row>
    <row r="8" spans="1:15">
      <c r="A8" s="7" t="s">
        <v>144</v>
      </c>
      <c r="B8" s="13" t="s">
        <v>145</v>
      </c>
      <c r="C8" s="8">
        <v>3</v>
      </c>
      <c r="D8" s="8">
        <v>1</v>
      </c>
      <c r="E8" s="20"/>
      <c r="F8" s="20" t="s">
        <v>276</v>
      </c>
      <c r="G8" s="20"/>
      <c r="H8" s="20"/>
      <c r="I8" s="20"/>
      <c r="J8" s="20"/>
      <c r="K8" s="20"/>
      <c r="L8" s="20"/>
      <c r="M8" s="20" t="s">
        <v>276</v>
      </c>
      <c r="N8" s="20"/>
      <c r="O8" s="9">
        <f t="shared" si="0"/>
        <v>2</v>
      </c>
    </row>
    <row r="9" spans="1:15">
      <c r="A9" s="7" t="s">
        <v>146</v>
      </c>
      <c r="B9" s="13" t="s">
        <v>147</v>
      </c>
      <c r="C9" s="8">
        <v>2</v>
      </c>
      <c r="D9" s="8">
        <v>1</v>
      </c>
      <c r="E9" s="20"/>
      <c r="F9" s="20"/>
      <c r="G9" s="20"/>
      <c r="H9" s="20"/>
      <c r="I9" s="20"/>
      <c r="J9" s="20"/>
      <c r="K9" s="20"/>
      <c r="L9" s="20"/>
      <c r="M9" s="20" t="s">
        <v>276</v>
      </c>
      <c r="N9" s="20"/>
      <c r="O9" s="9">
        <f t="shared" si="0"/>
        <v>1</v>
      </c>
    </row>
    <row r="10" spans="1:15">
      <c r="A10" s="7" t="s">
        <v>148</v>
      </c>
      <c r="B10" s="13" t="s">
        <v>149</v>
      </c>
      <c r="C10" s="8">
        <v>4</v>
      </c>
      <c r="D10" s="8">
        <v>1</v>
      </c>
      <c r="E10" s="20"/>
      <c r="F10" s="20"/>
      <c r="G10" s="20"/>
      <c r="H10" s="20"/>
      <c r="I10" s="20"/>
      <c r="J10" s="20"/>
      <c r="K10" s="20"/>
      <c r="L10" s="20"/>
      <c r="M10" s="20" t="s">
        <v>276</v>
      </c>
      <c r="N10" s="20"/>
      <c r="O10" s="9">
        <f t="shared" si="0"/>
        <v>1</v>
      </c>
    </row>
    <row r="11" spans="1:15">
      <c r="A11" s="7" t="s">
        <v>150</v>
      </c>
      <c r="B11" s="13" t="s">
        <v>151</v>
      </c>
      <c r="C11" s="8">
        <v>2</v>
      </c>
      <c r="D11" s="8">
        <v>2</v>
      </c>
      <c r="E11" s="20"/>
      <c r="F11" s="20"/>
      <c r="G11" s="20"/>
      <c r="H11" s="20"/>
      <c r="I11" s="20"/>
      <c r="J11" s="20"/>
      <c r="K11" s="20"/>
      <c r="L11" s="20"/>
      <c r="M11" s="20"/>
      <c r="N11" s="20" t="s">
        <v>277</v>
      </c>
      <c r="O11" s="9">
        <f t="shared" si="0"/>
        <v>1</v>
      </c>
    </row>
    <row r="12" spans="1:15">
      <c r="A12" s="7" t="s">
        <v>152</v>
      </c>
      <c r="B12" s="13" t="s">
        <v>153</v>
      </c>
      <c r="C12" s="8">
        <v>2</v>
      </c>
      <c r="D12" s="8">
        <v>2</v>
      </c>
      <c r="E12" s="20"/>
      <c r="F12" s="20"/>
      <c r="G12" s="20"/>
      <c r="H12" s="20"/>
      <c r="I12" s="20"/>
      <c r="J12" s="20"/>
      <c r="K12" s="20"/>
      <c r="L12" s="20" t="s">
        <v>276</v>
      </c>
      <c r="M12" s="20"/>
      <c r="N12" s="20" t="s">
        <v>277</v>
      </c>
      <c r="O12" s="9">
        <f t="shared" si="0"/>
        <v>2</v>
      </c>
    </row>
    <row r="13" spans="1:15">
      <c r="A13" s="7" t="s">
        <v>154</v>
      </c>
      <c r="B13" s="13" t="s">
        <v>155</v>
      </c>
      <c r="C13" s="8">
        <v>2</v>
      </c>
      <c r="D13" s="8">
        <v>2</v>
      </c>
      <c r="E13" s="20"/>
      <c r="F13" s="20"/>
      <c r="G13" s="20"/>
      <c r="H13" s="20"/>
      <c r="I13" s="20"/>
      <c r="J13" s="20"/>
      <c r="K13" s="20"/>
      <c r="L13" s="20"/>
      <c r="M13" s="20" t="s">
        <v>277</v>
      </c>
      <c r="N13" s="20"/>
      <c r="O13" s="9">
        <f t="shared" si="0"/>
        <v>1</v>
      </c>
    </row>
    <row r="14" spans="1:15">
      <c r="A14" s="7" t="s">
        <v>156</v>
      </c>
      <c r="B14" s="13" t="s">
        <v>157</v>
      </c>
      <c r="C14" s="8">
        <v>3</v>
      </c>
      <c r="D14" s="8">
        <v>2</v>
      </c>
      <c r="E14" s="20"/>
      <c r="F14" s="20" t="s">
        <v>277</v>
      </c>
      <c r="G14" s="20"/>
      <c r="H14" s="20"/>
      <c r="I14" s="20"/>
      <c r="J14" s="20" t="s">
        <v>276</v>
      </c>
      <c r="K14" s="20"/>
      <c r="L14" s="20"/>
      <c r="M14" s="20"/>
      <c r="N14" s="20"/>
      <c r="O14" s="9">
        <f t="shared" si="0"/>
        <v>2</v>
      </c>
    </row>
    <row r="15" spans="1:15">
      <c r="A15" s="7" t="s">
        <v>158</v>
      </c>
      <c r="B15" s="13" t="s">
        <v>159</v>
      </c>
      <c r="C15" s="8">
        <v>3</v>
      </c>
      <c r="D15" s="8">
        <v>2</v>
      </c>
      <c r="E15" s="20"/>
      <c r="F15" s="20" t="s">
        <v>277</v>
      </c>
      <c r="G15" s="20"/>
      <c r="H15" s="20"/>
      <c r="I15" s="20"/>
      <c r="J15" s="20"/>
      <c r="K15" s="20"/>
      <c r="L15" s="20"/>
      <c r="M15" s="20" t="s">
        <v>277</v>
      </c>
      <c r="N15" s="20"/>
      <c r="O15" s="9">
        <f t="shared" si="0"/>
        <v>2</v>
      </c>
    </row>
    <row r="16" spans="1:15">
      <c r="A16" s="7" t="s">
        <v>160</v>
      </c>
      <c r="B16" s="13" t="s">
        <v>161</v>
      </c>
      <c r="C16" s="8">
        <v>2</v>
      </c>
      <c r="D16" s="8">
        <v>2</v>
      </c>
      <c r="E16" s="20"/>
      <c r="F16" s="20"/>
      <c r="G16" s="20" t="s">
        <v>276</v>
      </c>
      <c r="H16" s="20" t="s">
        <v>276</v>
      </c>
      <c r="I16" s="20"/>
      <c r="J16" s="20" t="s">
        <v>276</v>
      </c>
      <c r="K16" s="20"/>
      <c r="L16" s="20"/>
      <c r="M16" s="20"/>
      <c r="N16" s="20"/>
      <c r="O16" s="9">
        <f t="shared" si="0"/>
        <v>3</v>
      </c>
    </row>
    <row r="17" spans="1:15">
      <c r="A17" s="7" t="s">
        <v>162</v>
      </c>
      <c r="B17" s="13" t="s">
        <v>163</v>
      </c>
      <c r="C17" s="8">
        <v>4</v>
      </c>
      <c r="D17" s="8">
        <v>2</v>
      </c>
      <c r="E17" s="20"/>
      <c r="F17" s="20"/>
      <c r="G17" s="20"/>
      <c r="H17" s="20"/>
      <c r="I17" s="20"/>
      <c r="J17" s="20"/>
      <c r="K17" s="20"/>
      <c r="L17" s="20"/>
      <c r="M17" s="20" t="s">
        <v>277</v>
      </c>
      <c r="N17" s="20"/>
      <c r="O17" s="9">
        <f t="shared" si="0"/>
        <v>1</v>
      </c>
    </row>
    <row r="18" spans="1:15">
      <c r="A18" s="7" t="s">
        <v>164</v>
      </c>
      <c r="B18" s="13" t="s">
        <v>165</v>
      </c>
      <c r="C18" s="8">
        <v>3</v>
      </c>
      <c r="D18" s="8">
        <v>3</v>
      </c>
      <c r="E18" s="20" t="s">
        <v>277</v>
      </c>
      <c r="F18" s="20" t="s">
        <v>277</v>
      </c>
      <c r="G18" s="20"/>
      <c r="H18" s="20"/>
      <c r="I18" s="20"/>
      <c r="J18" s="20"/>
      <c r="K18" s="20"/>
      <c r="L18" s="20"/>
      <c r="M18" s="20"/>
      <c r="N18" s="20" t="s">
        <v>277</v>
      </c>
      <c r="O18" s="9">
        <f t="shared" si="0"/>
        <v>3</v>
      </c>
    </row>
    <row r="19" spans="1:15">
      <c r="A19" s="7" t="s">
        <v>166</v>
      </c>
      <c r="B19" s="13" t="s">
        <v>167</v>
      </c>
      <c r="C19" s="8">
        <v>3</v>
      </c>
      <c r="D19" s="8">
        <v>3</v>
      </c>
      <c r="E19" s="20"/>
      <c r="F19" s="20" t="s">
        <v>277</v>
      </c>
      <c r="G19" s="20"/>
      <c r="H19" s="20"/>
      <c r="I19" s="20" t="s">
        <v>276</v>
      </c>
      <c r="J19" s="20"/>
      <c r="K19" s="20"/>
      <c r="L19" s="20"/>
      <c r="M19" s="20"/>
      <c r="N19" s="20"/>
      <c r="O19" s="9">
        <f t="shared" si="0"/>
        <v>2</v>
      </c>
    </row>
    <row r="20" spans="1:15">
      <c r="A20" s="7" t="s">
        <v>168</v>
      </c>
      <c r="B20" s="13" t="s">
        <v>169</v>
      </c>
      <c r="C20" s="8">
        <v>3</v>
      </c>
      <c r="D20" s="8">
        <v>3</v>
      </c>
      <c r="E20" s="20"/>
      <c r="F20" s="20" t="s">
        <v>277</v>
      </c>
      <c r="G20" s="20"/>
      <c r="H20" s="20" t="s">
        <v>277</v>
      </c>
      <c r="I20" s="20"/>
      <c r="J20" s="20"/>
      <c r="K20" s="20"/>
      <c r="L20" s="20"/>
      <c r="M20" s="20"/>
      <c r="N20" s="20"/>
      <c r="O20" s="9">
        <f t="shared" si="0"/>
        <v>2</v>
      </c>
    </row>
    <row r="21" spans="1:15">
      <c r="A21" s="7" t="s">
        <v>170</v>
      </c>
      <c r="B21" s="13" t="s">
        <v>171</v>
      </c>
      <c r="C21" s="8">
        <v>2</v>
      </c>
      <c r="D21" s="8">
        <v>3</v>
      </c>
      <c r="E21" s="20"/>
      <c r="F21" s="20"/>
      <c r="G21" s="20"/>
      <c r="H21" s="20"/>
      <c r="I21" s="20" t="s">
        <v>276</v>
      </c>
      <c r="J21" s="20"/>
      <c r="K21" s="20" t="s">
        <v>277</v>
      </c>
      <c r="L21" s="20"/>
      <c r="M21" s="20"/>
      <c r="N21" s="20"/>
      <c r="O21" s="9">
        <f t="shared" si="0"/>
        <v>2</v>
      </c>
    </row>
    <row r="22" spans="1:15">
      <c r="A22" s="7" t="s">
        <v>172</v>
      </c>
      <c r="B22" s="13" t="s">
        <v>173</v>
      </c>
      <c r="C22" s="8">
        <v>3</v>
      </c>
      <c r="D22" s="8">
        <v>3</v>
      </c>
      <c r="E22" s="20"/>
      <c r="F22" s="20"/>
      <c r="G22" s="20"/>
      <c r="H22" s="20" t="s">
        <v>277</v>
      </c>
      <c r="I22" s="20"/>
      <c r="J22" s="20"/>
      <c r="K22" s="20"/>
      <c r="L22" s="20"/>
      <c r="M22" s="20"/>
      <c r="N22" s="20" t="s">
        <v>277</v>
      </c>
      <c r="O22" s="9">
        <f t="shared" si="0"/>
        <v>2</v>
      </c>
    </row>
    <row r="23" spans="1:15">
      <c r="A23" s="7" t="s">
        <v>174</v>
      </c>
      <c r="B23" s="13" t="s">
        <v>175</v>
      </c>
      <c r="C23" s="8">
        <v>2</v>
      </c>
      <c r="D23" s="8">
        <v>3</v>
      </c>
      <c r="E23" s="20"/>
      <c r="F23" s="20"/>
      <c r="G23" s="20"/>
      <c r="H23" s="20"/>
      <c r="I23" s="20"/>
      <c r="J23" s="20"/>
      <c r="K23" s="20" t="s">
        <v>277</v>
      </c>
      <c r="L23" s="20"/>
      <c r="M23" s="20"/>
      <c r="N23" s="20" t="s">
        <v>277</v>
      </c>
      <c r="O23" s="9">
        <f t="shared" si="0"/>
        <v>2</v>
      </c>
    </row>
    <row r="24" spans="1:15">
      <c r="A24" s="7" t="s">
        <v>176</v>
      </c>
      <c r="B24" s="13" t="s">
        <v>177</v>
      </c>
      <c r="C24" s="8">
        <v>2</v>
      </c>
      <c r="D24" s="8">
        <v>3</v>
      </c>
      <c r="E24" s="20"/>
      <c r="F24" s="20"/>
      <c r="G24" s="20"/>
      <c r="H24" s="20" t="s">
        <v>277</v>
      </c>
      <c r="I24" s="20" t="s">
        <v>276</v>
      </c>
      <c r="J24" s="20"/>
      <c r="K24" s="20"/>
      <c r="L24" s="20"/>
      <c r="M24" s="20"/>
      <c r="N24" s="20"/>
      <c r="O24" s="9">
        <f t="shared" si="0"/>
        <v>2</v>
      </c>
    </row>
    <row r="25" spans="1:15">
      <c r="A25" s="7" t="s">
        <v>178</v>
      </c>
      <c r="B25" s="13" t="s">
        <v>179</v>
      </c>
      <c r="C25" s="8">
        <v>2</v>
      </c>
      <c r="D25" s="8">
        <v>3</v>
      </c>
      <c r="E25" s="20"/>
      <c r="F25" s="20"/>
      <c r="G25" s="20" t="s">
        <v>277</v>
      </c>
      <c r="H25" s="20"/>
      <c r="I25" s="20"/>
      <c r="J25" s="20"/>
      <c r="K25" s="20"/>
      <c r="L25" s="20"/>
      <c r="M25" s="20" t="s">
        <v>277</v>
      </c>
      <c r="N25" s="20"/>
      <c r="O25" s="9">
        <f t="shared" si="0"/>
        <v>2</v>
      </c>
    </row>
    <row r="26" spans="1:15">
      <c r="A26" s="7" t="s">
        <v>180</v>
      </c>
      <c r="B26" s="13" t="s">
        <v>181</v>
      </c>
      <c r="C26" s="8">
        <v>2</v>
      </c>
      <c r="D26" s="8">
        <v>4</v>
      </c>
      <c r="E26" s="20"/>
      <c r="F26" s="20"/>
      <c r="G26" s="20"/>
      <c r="H26" s="20"/>
      <c r="I26" s="20"/>
      <c r="J26" s="20"/>
      <c r="K26" s="20" t="s">
        <v>277</v>
      </c>
      <c r="L26" s="20"/>
      <c r="M26" s="20"/>
      <c r="N26" s="20" t="s">
        <v>277</v>
      </c>
      <c r="O26" s="9">
        <f t="shared" si="0"/>
        <v>2</v>
      </c>
    </row>
    <row r="27" spans="1:15">
      <c r="A27" s="7" t="s">
        <v>182</v>
      </c>
      <c r="B27" s="13" t="s">
        <v>183</v>
      </c>
      <c r="C27" s="8">
        <v>0</v>
      </c>
      <c r="D27" s="8">
        <v>4</v>
      </c>
      <c r="E27" s="20"/>
      <c r="F27" s="20"/>
      <c r="G27" s="20"/>
      <c r="H27" s="20"/>
      <c r="I27" s="20"/>
      <c r="J27" s="20"/>
      <c r="K27" s="20"/>
      <c r="L27" s="20"/>
      <c r="M27" s="20"/>
      <c r="N27" s="20" t="s">
        <v>277</v>
      </c>
      <c r="O27" s="9">
        <f t="shared" si="0"/>
        <v>1</v>
      </c>
    </row>
    <row r="28" spans="1:15">
      <c r="A28" s="7" t="s">
        <v>184</v>
      </c>
      <c r="B28" s="13" t="s">
        <v>185</v>
      </c>
      <c r="C28" s="8">
        <v>2</v>
      </c>
      <c r="D28" s="8">
        <v>4</v>
      </c>
      <c r="E28" s="20"/>
      <c r="F28" s="20"/>
      <c r="G28" s="20" t="s">
        <v>277</v>
      </c>
      <c r="H28" s="20"/>
      <c r="I28" s="20"/>
      <c r="J28" s="20"/>
      <c r="K28" s="20"/>
      <c r="L28" s="20"/>
      <c r="M28" s="20" t="s">
        <v>277</v>
      </c>
      <c r="N28" s="20"/>
      <c r="O28" s="9">
        <f t="shared" si="0"/>
        <v>2</v>
      </c>
    </row>
    <row r="29" spans="1:15">
      <c r="A29" s="7" t="s">
        <v>186</v>
      </c>
      <c r="B29" s="13" t="s">
        <v>187</v>
      </c>
      <c r="C29" s="8">
        <v>3</v>
      </c>
      <c r="D29" s="8">
        <v>4</v>
      </c>
      <c r="E29" s="20"/>
      <c r="F29" s="20" t="s">
        <v>277</v>
      </c>
      <c r="G29" s="20"/>
      <c r="H29" s="20" t="s">
        <v>277</v>
      </c>
      <c r="I29" s="20"/>
      <c r="J29" s="20"/>
      <c r="K29" s="20"/>
      <c r="L29" s="20"/>
      <c r="M29" s="20"/>
      <c r="N29" s="20"/>
      <c r="O29" s="9">
        <f t="shared" si="0"/>
        <v>2</v>
      </c>
    </row>
    <row r="30" spans="1:15">
      <c r="A30" s="7" t="s">
        <v>188</v>
      </c>
      <c r="B30" s="13" t="s">
        <v>189</v>
      </c>
      <c r="C30" s="8">
        <v>2</v>
      </c>
      <c r="D30" s="8">
        <v>4</v>
      </c>
      <c r="E30" s="20"/>
      <c r="F30" s="20"/>
      <c r="G30" s="20"/>
      <c r="H30" s="20"/>
      <c r="I30" s="20"/>
      <c r="J30" s="20" t="s">
        <v>277</v>
      </c>
      <c r="K30" s="20"/>
      <c r="L30" s="20"/>
      <c r="M30" s="20"/>
      <c r="N30" s="20"/>
      <c r="O30" s="9">
        <f t="shared" si="0"/>
        <v>1</v>
      </c>
    </row>
    <row r="31" spans="1:15">
      <c r="A31" s="7" t="s">
        <v>190</v>
      </c>
      <c r="B31" s="13" t="s">
        <v>191</v>
      </c>
      <c r="C31" s="8">
        <v>2</v>
      </c>
      <c r="D31" s="8">
        <v>4</v>
      </c>
      <c r="E31" s="20"/>
      <c r="F31" s="20"/>
      <c r="G31" s="20"/>
      <c r="H31" s="20"/>
      <c r="I31" s="20"/>
      <c r="J31" s="20"/>
      <c r="K31" s="20"/>
      <c r="L31" s="20" t="s">
        <v>277</v>
      </c>
      <c r="M31" s="20"/>
      <c r="N31" s="20" t="s">
        <v>277</v>
      </c>
      <c r="O31" s="9">
        <f t="shared" si="0"/>
        <v>2</v>
      </c>
    </row>
    <row r="32" spans="1:15">
      <c r="A32" s="7" t="s">
        <v>192</v>
      </c>
      <c r="B32" s="13" t="s">
        <v>193</v>
      </c>
      <c r="C32" s="8">
        <v>3</v>
      </c>
      <c r="D32" s="8">
        <v>4</v>
      </c>
      <c r="E32" s="20"/>
      <c r="F32" s="20"/>
      <c r="G32" s="20"/>
      <c r="H32" s="20"/>
      <c r="I32" s="20"/>
      <c r="J32" s="20"/>
      <c r="K32" s="20" t="s">
        <v>277</v>
      </c>
      <c r="L32" s="20" t="s">
        <v>277</v>
      </c>
      <c r="M32" s="20"/>
      <c r="N32" s="20"/>
      <c r="O32" s="9">
        <f t="shared" si="0"/>
        <v>2</v>
      </c>
    </row>
    <row r="33" spans="1:15">
      <c r="A33" s="7" t="s">
        <v>194</v>
      </c>
      <c r="B33" s="13" t="s">
        <v>195</v>
      </c>
      <c r="C33" s="8">
        <v>3</v>
      </c>
      <c r="D33" s="8">
        <v>4</v>
      </c>
      <c r="E33" s="20"/>
      <c r="F33" s="20"/>
      <c r="G33" s="20"/>
      <c r="H33" s="20" t="s">
        <v>277</v>
      </c>
      <c r="I33" s="20"/>
      <c r="J33" s="20"/>
      <c r="K33" s="20"/>
      <c r="L33" s="20" t="s">
        <v>277</v>
      </c>
      <c r="M33" s="20"/>
      <c r="N33" s="20"/>
      <c r="O33" s="9">
        <f t="shared" si="0"/>
        <v>2</v>
      </c>
    </row>
    <row r="34" spans="1:15">
      <c r="A34" s="7" t="s">
        <v>196</v>
      </c>
      <c r="B34" s="13" t="s">
        <v>197</v>
      </c>
      <c r="C34" s="8">
        <v>3</v>
      </c>
      <c r="D34" s="8">
        <v>4</v>
      </c>
      <c r="E34" s="20"/>
      <c r="F34" s="20"/>
      <c r="G34" s="20" t="s">
        <v>277</v>
      </c>
      <c r="H34" s="20"/>
      <c r="I34" s="20"/>
      <c r="J34" s="20"/>
      <c r="K34" s="20"/>
      <c r="L34" s="20"/>
      <c r="M34" s="20" t="s">
        <v>277</v>
      </c>
      <c r="N34" s="20"/>
      <c r="O34" s="9">
        <f t="shared" si="0"/>
        <v>2</v>
      </c>
    </row>
    <row r="35" spans="1:15">
      <c r="A35" s="7" t="s">
        <v>198</v>
      </c>
      <c r="B35" s="13" t="s">
        <v>199</v>
      </c>
      <c r="C35" s="8">
        <v>3</v>
      </c>
      <c r="D35" s="8">
        <v>5</v>
      </c>
      <c r="E35" s="20"/>
      <c r="F35" s="20"/>
      <c r="G35" s="20"/>
      <c r="H35" s="20"/>
      <c r="I35" s="20"/>
      <c r="J35" s="20"/>
      <c r="K35" s="20"/>
      <c r="L35" s="20" t="s">
        <v>277</v>
      </c>
      <c r="M35" s="20"/>
      <c r="N35" s="20" t="s">
        <v>277</v>
      </c>
      <c r="O35" s="9">
        <f t="shared" si="0"/>
        <v>2</v>
      </c>
    </row>
    <row r="36" spans="1:15">
      <c r="A36" s="7" t="s">
        <v>200</v>
      </c>
      <c r="B36" s="13" t="s">
        <v>201</v>
      </c>
      <c r="C36" s="8">
        <v>0</v>
      </c>
      <c r="D36" s="8">
        <v>5</v>
      </c>
      <c r="E36" s="20"/>
      <c r="F36" s="20"/>
      <c r="G36" s="20"/>
      <c r="H36" s="20"/>
      <c r="I36" s="20"/>
      <c r="J36" s="20"/>
      <c r="K36" s="20"/>
      <c r="L36" s="20" t="s">
        <v>277</v>
      </c>
      <c r="M36" s="20"/>
      <c r="N36" s="20" t="s">
        <v>277</v>
      </c>
      <c r="O36" s="9">
        <f t="shared" ref="O36:O67" si="1">COUNTA(E36:N36)</f>
        <v>2</v>
      </c>
    </row>
    <row r="37" spans="1:15">
      <c r="A37" s="7" t="s">
        <v>202</v>
      </c>
      <c r="B37" s="13" t="s">
        <v>203</v>
      </c>
      <c r="C37" s="8">
        <v>3</v>
      </c>
      <c r="D37" s="8">
        <v>5</v>
      </c>
      <c r="E37" s="20"/>
      <c r="F37" s="20" t="s">
        <v>277</v>
      </c>
      <c r="G37" s="20"/>
      <c r="H37" s="20"/>
      <c r="I37" s="20" t="s">
        <v>277</v>
      </c>
      <c r="J37" s="20"/>
      <c r="K37" s="20"/>
      <c r="L37" s="20"/>
      <c r="M37" s="20"/>
      <c r="N37" s="20"/>
      <c r="O37" s="9">
        <f t="shared" si="1"/>
        <v>2</v>
      </c>
    </row>
    <row r="38" spans="1:15">
      <c r="A38" s="7" t="s">
        <v>204</v>
      </c>
      <c r="B38" s="13" t="s">
        <v>205</v>
      </c>
      <c r="C38" s="8">
        <v>3</v>
      </c>
      <c r="D38" s="8">
        <v>5</v>
      </c>
      <c r="E38" s="20"/>
      <c r="F38" s="20" t="s">
        <v>277</v>
      </c>
      <c r="G38" s="20"/>
      <c r="H38" s="20"/>
      <c r="I38" s="20" t="s">
        <v>277</v>
      </c>
      <c r="J38" s="20"/>
      <c r="K38" s="20"/>
      <c r="L38" s="20"/>
      <c r="M38" s="20"/>
      <c r="N38" s="20"/>
      <c r="O38" s="9">
        <f t="shared" si="1"/>
        <v>2</v>
      </c>
    </row>
    <row r="39" spans="1:15">
      <c r="A39" s="7" t="s">
        <v>206</v>
      </c>
      <c r="B39" s="13" t="s">
        <v>207</v>
      </c>
      <c r="C39" s="8">
        <v>2</v>
      </c>
      <c r="D39" s="8">
        <v>5</v>
      </c>
      <c r="E39" s="20"/>
      <c r="F39" s="20" t="s">
        <v>277</v>
      </c>
      <c r="G39" s="20"/>
      <c r="H39" s="20"/>
      <c r="I39" s="20" t="s">
        <v>277</v>
      </c>
      <c r="J39" s="20"/>
      <c r="K39" s="20" t="s">
        <v>277</v>
      </c>
      <c r="L39" s="20"/>
      <c r="M39" s="20"/>
      <c r="N39" s="20"/>
      <c r="O39" s="9">
        <f t="shared" si="1"/>
        <v>3</v>
      </c>
    </row>
    <row r="40" spans="1:15">
      <c r="A40" s="7" t="s">
        <v>208</v>
      </c>
      <c r="B40" s="13" t="s">
        <v>209</v>
      </c>
      <c r="C40" s="8">
        <v>2</v>
      </c>
      <c r="D40" s="8">
        <v>5</v>
      </c>
      <c r="E40" s="20"/>
      <c r="F40" s="20"/>
      <c r="G40" s="20" t="s">
        <v>277</v>
      </c>
      <c r="H40" s="20"/>
      <c r="I40" s="20"/>
      <c r="J40" s="20" t="s">
        <v>277</v>
      </c>
      <c r="K40" s="20"/>
      <c r="L40" s="20"/>
      <c r="M40" s="20"/>
      <c r="N40" s="20"/>
      <c r="O40" s="9">
        <f t="shared" si="1"/>
        <v>2</v>
      </c>
    </row>
    <row r="41" spans="1:15">
      <c r="A41" s="7" t="s">
        <v>210</v>
      </c>
      <c r="B41" s="13" t="s">
        <v>211</v>
      </c>
      <c r="C41" s="8">
        <v>3</v>
      </c>
      <c r="D41" s="8">
        <v>5</v>
      </c>
      <c r="E41" s="20"/>
      <c r="F41" s="20"/>
      <c r="G41" s="20"/>
      <c r="H41" s="20"/>
      <c r="I41" s="20" t="s">
        <v>277</v>
      </c>
      <c r="J41" s="20"/>
      <c r="K41" s="20" t="s">
        <v>277</v>
      </c>
      <c r="L41" s="20"/>
      <c r="M41" s="20"/>
      <c r="N41" s="20"/>
      <c r="O41" s="9">
        <f t="shared" si="1"/>
        <v>2</v>
      </c>
    </row>
    <row r="42" spans="1:15">
      <c r="A42" s="7" t="s">
        <v>212</v>
      </c>
      <c r="B42" s="13" t="s">
        <v>213</v>
      </c>
      <c r="C42" s="8">
        <v>3</v>
      </c>
      <c r="D42" s="8">
        <v>5</v>
      </c>
      <c r="E42" s="20"/>
      <c r="F42" s="20"/>
      <c r="G42" s="20" t="s">
        <v>277</v>
      </c>
      <c r="H42" s="20"/>
      <c r="I42" s="20"/>
      <c r="J42" s="20" t="s">
        <v>277</v>
      </c>
      <c r="K42" s="20" t="s">
        <v>277</v>
      </c>
      <c r="L42" s="20"/>
      <c r="M42" s="20"/>
      <c r="N42" s="20"/>
      <c r="O42" s="9">
        <f t="shared" si="1"/>
        <v>3</v>
      </c>
    </row>
    <row r="43" spans="1:15">
      <c r="A43" s="7" t="s">
        <v>214</v>
      </c>
      <c r="B43" s="13" t="s">
        <v>215</v>
      </c>
      <c r="C43" s="8">
        <v>2</v>
      </c>
      <c r="D43" s="8">
        <v>5</v>
      </c>
      <c r="E43" s="20"/>
      <c r="F43" s="20"/>
      <c r="G43" s="20"/>
      <c r="H43" s="20" t="s">
        <v>277</v>
      </c>
      <c r="I43" s="20" t="s">
        <v>277</v>
      </c>
      <c r="J43" s="20"/>
      <c r="K43" s="20"/>
      <c r="L43" s="20"/>
      <c r="M43" s="20"/>
      <c r="N43" s="20"/>
      <c r="O43" s="9">
        <f t="shared" si="1"/>
        <v>2</v>
      </c>
    </row>
    <row r="44" spans="1:15">
      <c r="A44" s="7" t="s">
        <v>216</v>
      </c>
      <c r="B44" s="13" t="s">
        <v>217</v>
      </c>
      <c r="C44" s="8">
        <v>3</v>
      </c>
      <c r="D44" s="8">
        <v>6</v>
      </c>
      <c r="E44" s="20" t="s">
        <v>277</v>
      </c>
      <c r="F44" s="20" t="s">
        <v>277</v>
      </c>
      <c r="G44" s="20"/>
      <c r="H44" s="20"/>
      <c r="I44" s="20"/>
      <c r="J44" s="20"/>
      <c r="K44" s="20"/>
      <c r="L44" s="20" t="s">
        <v>277</v>
      </c>
      <c r="M44" s="20"/>
      <c r="N44" s="20" t="s">
        <v>277</v>
      </c>
      <c r="O44" s="9">
        <f t="shared" si="1"/>
        <v>4</v>
      </c>
    </row>
    <row r="45" spans="1:15">
      <c r="A45" s="7" t="s">
        <v>218</v>
      </c>
      <c r="B45" s="13" t="s">
        <v>219</v>
      </c>
      <c r="C45" s="8">
        <v>3</v>
      </c>
      <c r="D45" s="8">
        <v>6</v>
      </c>
      <c r="E45" s="20" t="s">
        <v>277</v>
      </c>
      <c r="F45" s="20"/>
      <c r="G45" s="20" t="s">
        <v>277</v>
      </c>
      <c r="H45" s="20"/>
      <c r="I45" s="20"/>
      <c r="J45" s="20" t="s">
        <v>277</v>
      </c>
      <c r="K45" s="20"/>
      <c r="L45" s="20"/>
      <c r="M45" s="20"/>
      <c r="N45" s="20"/>
      <c r="O45" s="9">
        <f t="shared" si="1"/>
        <v>3</v>
      </c>
    </row>
    <row r="46" spans="1:15">
      <c r="A46" s="7" t="s">
        <v>220</v>
      </c>
      <c r="B46" s="13" t="s">
        <v>221</v>
      </c>
      <c r="C46" s="8">
        <v>3</v>
      </c>
      <c r="D46" s="8">
        <v>6</v>
      </c>
      <c r="E46" s="20"/>
      <c r="F46" s="20"/>
      <c r="G46" s="20" t="s">
        <v>277</v>
      </c>
      <c r="H46" s="20"/>
      <c r="I46" s="20" t="s">
        <v>277</v>
      </c>
      <c r="J46" s="20"/>
      <c r="K46" s="20"/>
      <c r="L46" s="20"/>
      <c r="M46" s="20"/>
      <c r="N46" s="20"/>
      <c r="O46" s="9">
        <f t="shared" si="1"/>
        <v>2</v>
      </c>
    </row>
    <row r="47" spans="1:15">
      <c r="A47" s="7" t="s">
        <v>222</v>
      </c>
      <c r="B47" s="13" t="s">
        <v>223</v>
      </c>
      <c r="C47" s="8">
        <v>3</v>
      </c>
      <c r="D47" s="8">
        <v>6</v>
      </c>
      <c r="E47" s="20"/>
      <c r="F47" s="20"/>
      <c r="G47" s="20"/>
      <c r="H47" s="20" t="s">
        <v>277</v>
      </c>
      <c r="I47" s="20"/>
      <c r="J47" s="20"/>
      <c r="K47" s="20"/>
      <c r="L47" s="20"/>
      <c r="M47" s="20" t="s">
        <v>277</v>
      </c>
      <c r="N47" s="20" t="s">
        <v>277</v>
      </c>
      <c r="O47" s="9">
        <f t="shared" si="1"/>
        <v>3</v>
      </c>
    </row>
    <row r="48" spans="1:15">
      <c r="A48" s="7" t="s">
        <v>224</v>
      </c>
      <c r="B48" s="13" t="s">
        <v>225</v>
      </c>
      <c r="C48" s="8">
        <v>3</v>
      </c>
      <c r="D48" s="8">
        <v>6</v>
      </c>
      <c r="E48" s="20"/>
      <c r="F48" s="20"/>
      <c r="G48" s="20" t="s">
        <v>277</v>
      </c>
      <c r="H48" s="20"/>
      <c r="I48" s="20"/>
      <c r="J48" s="20"/>
      <c r="K48" s="20"/>
      <c r="L48" s="20"/>
      <c r="M48" s="20" t="s">
        <v>277</v>
      </c>
      <c r="N48" s="20"/>
      <c r="O48" s="9">
        <f t="shared" si="1"/>
        <v>2</v>
      </c>
    </row>
    <row r="49" spans="1:15">
      <c r="A49" s="7" t="s">
        <v>226</v>
      </c>
      <c r="B49" s="13" t="s">
        <v>227</v>
      </c>
      <c r="C49" s="8">
        <v>3</v>
      </c>
      <c r="D49" s="8">
        <v>6</v>
      </c>
      <c r="E49" s="20" t="s">
        <v>277</v>
      </c>
      <c r="F49" s="20"/>
      <c r="G49" s="20"/>
      <c r="H49" s="20"/>
      <c r="I49" s="20"/>
      <c r="J49" s="20"/>
      <c r="K49" s="20" t="s">
        <v>277</v>
      </c>
      <c r="L49" s="20" t="s">
        <v>277</v>
      </c>
      <c r="M49" s="20"/>
      <c r="N49" s="20"/>
      <c r="O49" s="9">
        <f t="shared" si="1"/>
        <v>3</v>
      </c>
    </row>
    <row r="50" spans="1:15">
      <c r="A50" s="7" t="s">
        <v>228</v>
      </c>
      <c r="B50" s="13" t="s">
        <v>229</v>
      </c>
      <c r="C50" s="8">
        <v>3</v>
      </c>
      <c r="D50" s="8">
        <v>6</v>
      </c>
      <c r="E50" s="20"/>
      <c r="F50" s="20"/>
      <c r="G50" s="20" t="s">
        <v>277</v>
      </c>
      <c r="H50" s="20"/>
      <c r="I50" s="20" t="s">
        <v>277</v>
      </c>
      <c r="J50" s="20"/>
      <c r="K50" s="20"/>
      <c r="L50" s="20"/>
      <c r="M50" s="20" t="s">
        <v>277</v>
      </c>
      <c r="N50" s="20"/>
      <c r="O50" s="9">
        <f t="shared" si="1"/>
        <v>3</v>
      </c>
    </row>
    <row r="51" spans="1:15">
      <c r="A51" s="7" t="s">
        <v>230</v>
      </c>
      <c r="B51" s="13" t="s">
        <v>231</v>
      </c>
      <c r="C51" s="8">
        <v>2</v>
      </c>
      <c r="D51" s="8">
        <v>7</v>
      </c>
      <c r="E51" s="20"/>
      <c r="F51" s="20"/>
      <c r="G51" s="20"/>
      <c r="H51" s="20"/>
      <c r="I51" s="20"/>
      <c r="J51" s="20"/>
      <c r="K51" s="20"/>
      <c r="L51" s="20"/>
      <c r="M51" s="20" t="s">
        <v>277</v>
      </c>
      <c r="N51" s="20" t="s">
        <v>277</v>
      </c>
      <c r="O51" s="9">
        <f t="shared" si="1"/>
        <v>2</v>
      </c>
    </row>
    <row r="52" spans="1:15">
      <c r="A52" s="7" t="s">
        <v>232</v>
      </c>
      <c r="B52" s="13" t="s">
        <v>233</v>
      </c>
      <c r="C52" s="8">
        <v>3</v>
      </c>
      <c r="D52" s="8">
        <v>7</v>
      </c>
      <c r="E52" s="20" t="s">
        <v>277</v>
      </c>
      <c r="F52" s="20" t="s">
        <v>278</v>
      </c>
      <c r="G52" s="20"/>
      <c r="H52" s="20"/>
      <c r="I52" s="20"/>
      <c r="J52" s="20"/>
      <c r="K52" s="20"/>
      <c r="L52" s="20"/>
      <c r="M52" s="20"/>
      <c r="N52" s="20" t="s">
        <v>277</v>
      </c>
      <c r="O52" s="9">
        <f t="shared" si="1"/>
        <v>3</v>
      </c>
    </row>
    <row r="53" spans="1:15">
      <c r="A53" s="7" t="s">
        <v>234</v>
      </c>
      <c r="B53" s="13" t="s">
        <v>235</v>
      </c>
      <c r="C53" s="8">
        <v>3</v>
      </c>
      <c r="D53" s="8">
        <v>7</v>
      </c>
      <c r="E53" s="20"/>
      <c r="F53" s="20"/>
      <c r="G53" s="20"/>
      <c r="H53" s="20" t="s">
        <v>278</v>
      </c>
      <c r="I53" s="20"/>
      <c r="J53" s="20"/>
      <c r="K53" s="20"/>
      <c r="L53" s="20" t="s">
        <v>278</v>
      </c>
      <c r="M53" s="20"/>
      <c r="N53" s="20" t="s">
        <v>277</v>
      </c>
      <c r="O53" s="9">
        <f t="shared" si="1"/>
        <v>3</v>
      </c>
    </row>
    <row r="54" spans="1:15">
      <c r="A54" s="7" t="s">
        <v>236</v>
      </c>
      <c r="B54" s="13" t="s">
        <v>237</v>
      </c>
      <c r="C54" s="8">
        <v>3</v>
      </c>
      <c r="D54" s="8">
        <v>7</v>
      </c>
      <c r="E54" s="20"/>
      <c r="F54" s="20"/>
      <c r="G54" s="20" t="s">
        <v>278</v>
      </c>
      <c r="H54" s="20" t="s">
        <v>278</v>
      </c>
      <c r="I54" s="20"/>
      <c r="J54" s="20" t="s">
        <v>278</v>
      </c>
      <c r="K54" s="20"/>
      <c r="L54" s="20"/>
      <c r="M54" s="20"/>
      <c r="N54" s="20"/>
      <c r="O54" s="9">
        <f t="shared" si="1"/>
        <v>3</v>
      </c>
    </row>
    <row r="55" spans="1:15">
      <c r="A55" s="7" t="s">
        <v>238</v>
      </c>
      <c r="B55" s="13" t="s">
        <v>239</v>
      </c>
      <c r="C55" s="8">
        <v>3</v>
      </c>
      <c r="D55" s="8">
        <v>7</v>
      </c>
      <c r="E55" s="20"/>
      <c r="F55" s="20" t="s">
        <v>278</v>
      </c>
      <c r="G55" s="20" t="s">
        <v>278</v>
      </c>
      <c r="H55" s="20"/>
      <c r="I55" s="20" t="s">
        <v>278</v>
      </c>
      <c r="J55" s="20" t="s">
        <v>278</v>
      </c>
      <c r="K55" s="20"/>
      <c r="L55" s="20"/>
      <c r="M55" s="20"/>
      <c r="N55" s="20"/>
      <c r="O55" s="9">
        <f t="shared" si="1"/>
        <v>4</v>
      </c>
    </row>
    <row r="56" spans="1:15">
      <c r="A56" s="7" t="s">
        <v>240</v>
      </c>
      <c r="B56" s="13" t="s">
        <v>241</v>
      </c>
      <c r="C56" s="8">
        <v>3</v>
      </c>
      <c r="D56" s="8">
        <v>7</v>
      </c>
      <c r="E56" s="20"/>
      <c r="F56" s="20"/>
      <c r="G56" s="20"/>
      <c r="H56" s="20"/>
      <c r="I56" s="20"/>
      <c r="J56" s="20"/>
      <c r="K56" s="20"/>
      <c r="L56" s="20" t="s">
        <v>278</v>
      </c>
      <c r="M56" s="20"/>
      <c r="N56" s="20" t="s">
        <v>277</v>
      </c>
      <c r="O56" s="9">
        <f t="shared" si="1"/>
        <v>2</v>
      </c>
    </row>
    <row r="57" spans="1:15">
      <c r="A57" s="7" t="s">
        <v>242</v>
      </c>
      <c r="B57" s="13" t="s">
        <v>243</v>
      </c>
      <c r="C57" s="8">
        <v>3</v>
      </c>
      <c r="D57" s="8">
        <v>7</v>
      </c>
      <c r="E57" s="20"/>
      <c r="F57" s="20"/>
      <c r="G57" s="20"/>
      <c r="H57" s="20"/>
      <c r="I57" s="20"/>
      <c r="J57" s="20"/>
      <c r="K57" s="20" t="s">
        <v>278</v>
      </c>
      <c r="L57" s="20"/>
      <c r="M57" s="20" t="s">
        <v>277</v>
      </c>
      <c r="N57" s="20" t="s">
        <v>277</v>
      </c>
      <c r="O57" s="9">
        <f t="shared" si="1"/>
        <v>3</v>
      </c>
    </row>
    <row r="58" spans="1:15">
      <c r="A58" s="7" t="s">
        <v>244</v>
      </c>
      <c r="B58" s="13" t="s">
        <v>245</v>
      </c>
      <c r="C58" s="8">
        <v>6</v>
      </c>
      <c r="D58" s="8">
        <v>8</v>
      </c>
      <c r="E58" s="20" t="s">
        <v>278</v>
      </c>
      <c r="F58" s="20"/>
      <c r="G58" s="20"/>
      <c r="H58" s="20"/>
      <c r="I58" s="20"/>
      <c r="J58" s="20"/>
      <c r="K58" s="20"/>
      <c r="L58" s="20"/>
      <c r="M58" s="20" t="s">
        <v>278</v>
      </c>
      <c r="N58" s="20" t="s">
        <v>278</v>
      </c>
      <c r="O58" s="9">
        <f t="shared" si="1"/>
        <v>3</v>
      </c>
    </row>
    <row r="59" spans="1:15">
      <c r="A59" s="7" t="s">
        <v>246</v>
      </c>
      <c r="B59" s="13" t="s">
        <v>247</v>
      </c>
      <c r="C59" s="8">
        <v>2</v>
      </c>
      <c r="D59" s="8">
        <v>8</v>
      </c>
      <c r="E59" s="20"/>
      <c r="F59" s="20"/>
      <c r="G59" s="20"/>
      <c r="H59" s="20"/>
      <c r="I59" s="20"/>
      <c r="J59" s="20"/>
      <c r="K59" s="20"/>
      <c r="L59" s="20"/>
      <c r="M59" s="20" t="s">
        <v>278</v>
      </c>
      <c r="N59" s="20" t="s">
        <v>278</v>
      </c>
      <c r="O59" s="9">
        <f t="shared" si="1"/>
        <v>2</v>
      </c>
    </row>
    <row r="60" spans="1:15">
      <c r="A60" s="21" t="s">
        <v>279</v>
      </c>
      <c r="B60" s="22"/>
      <c r="C60" s="22"/>
      <c r="D60" s="22"/>
      <c r="E60" s="22">
        <f t="shared" ref="E60:N60" si="2">COUNTIF(E4:E59,"I")</f>
        <v>1</v>
      </c>
      <c r="F60" s="22">
        <f t="shared" si="2"/>
        <v>1</v>
      </c>
      <c r="G60" s="22">
        <f t="shared" si="2"/>
        <v>1</v>
      </c>
      <c r="H60" s="22">
        <f t="shared" si="2"/>
        <v>1</v>
      </c>
      <c r="I60" s="22">
        <f t="shared" si="2"/>
        <v>3</v>
      </c>
      <c r="J60" s="22">
        <f t="shared" si="2"/>
        <v>2</v>
      </c>
      <c r="K60" s="22">
        <f t="shared" si="2"/>
        <v>2</v>
      </c>
      <c r="L60" s="22">
        <f t="shared" si="2"/>
        <v>1</v>
      </c>
      <c r="M60" s="22">
        <f t="shared" si="2"/>
        <v>4</v>
      </c>
      <c r="N60" s="22">
        <f t="shared" si="2"/>
        <v>3</v>
      </c>
      <c r="O60" s="23"/>
    </row>
    <row r="61" spans="1:15">
      <c r="A61" s="24" t="s">
        <v>280</v>
      </c>
      <c r="B61" s="25"/>
      <c r="C61" s="25"/>
      <c r="D61" s="25"/>
      <c r="E61" s="25">
        <f t="shared" ref="E61:N61" si="3">COUNTIF(E4:E59,"R")</f>
        <v>5</v>
      </c>
      <c r="F61" s="25">
        <f t="shared" si="3"/>
        <v>10</v>
      </c>
      <c r="G61" s="25">
        <f t="shared" si="3"/>
        <v>9</v>
      </c>
      <c r="H61" s="25">
        <f t="shared" si="3"/>
        <v>7</v>
      </c>
      <c r="I61" s="25">
        <f t="shared" si="3"/>
        <v>7</v>
      </c>
      <c r="J61" s="25">
        <f t="shared" si="3"/>
        <v>4</v>
      </c>
      <c r="K61" s="25">
        <f t="shared" si="3"/>
        <v>8</v>
      </c>
      <c r="L61" s="25">
        <f t="shared" si="3"/>
        <v>7</v>
      </c>
      <c r="M61" s="25">
        <f t="shared" si="3"/>
        <v>11</v>
      </c>
      <c r="N61" s="25">
        <f t="shared" si="3"/>
        <v>17</v>
      </c>
      <c r="O61" s="26"/>
    </row>
    <row r="62" spans="1:15">
      <c r="A62" s="27" t="s">
        <v>281</v>
      </c>
      <c r="B62" s="28"/>
      <c r="C62" s="28"/>
      <c r="D62" s="28"/>
      <c r="E62" s="28">
        <f t="shared" ref="E62:N62" si="4">COUNTIF(E4:E59,"M")</f>
        <v>1</v>
      </c>
      <c r="F62" s="28">
        <f t="shared" si="4"/>
        <v>2</v>
      </c>
      <c r="G62" s="28">
        <f t="shared" si="4"/>
        <v>2</v>
      </c>
      <c r="H62" s="28">
        <f t="shared" si="4"/>
        <v>2</v>
      </c>
      <c r="I62" s="28">
        <f t="shared" si="4"/>
        <v>1</v>
      </c>
      <c r="J62" s="28">
        <f t="shared" si="4"/>
        <v>2</v>
      </c>
      <c r="K62" s="28">
        <f t="shared" si="4"/>
        <v>1</v>
      </c>
      <c r="L62" s="28">
        <f t="shared" si="4"/>
        <v>2</v>
      </c>
      <c r="M62" s="28">
        <f t="shared" si="4"/>
        <v>2</v>
      </c>
      <c r="N62" s="28">
        <f t="shared" si="4"/>
        <v>2</v>
      </c>
      <c r="O62" s="29"/>
    </row>
  </sheetData>
  <mergeCells count="2">
    <mergeCell ref="A1:O1"/>
    <mergeCell ref="A2:O2"/>
  </mergeCells>
  <conditionalFormatting sqref="E4:N59">
    <cfRule type="expression" dxfId="12" priority="1">
      <formula>E4="I"</formula>
    </cfRule>
    <cfRule type="expression" dxfId="11" priority="2">
      <formula>E4="R"</formula>
    </cfRule>
    <cfRule type="expression" dxfId="10" priority="3">
      <formula>E4="M"</formula>
    </cfRule>
  </conditionalFormatting>
  <pageMargins left="0.25" right="0.25" top="0.75" bottom="0.75" header="0.3" footer="0.3"/>
  <pageSetup paperSize="9" scale="7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46"/>
  <sheetViews>
    <sheetView workbookViewId="0"/>
  </sheetViews>
  <sheetFormatPr defaultRowHeight="13.8"/>
  <cols>
    <col min="1" max="1" width="12" customWidth="1"/>
    <col min="2" max="2" width="44" customWidth="1"/>
    <col min="3" max="3" width="10" customWidth="1"/>
    <col min="4" max="4" width="11" customWidth="1"/>
    <col min="5" max="5" width="48" customWidth="1"/>
    <col min="6" max="6" width="13" customWidth="1"/>
    <col min="7" max="7" width="54" customWidth="1"/>
    <col min="8" max="8" width="10" customWidth="1"/>
    <col min="9" max="9" width="30" customWidth="1"/>
    <col min="10" max="10" width="10" customWidth="1"/>
  </cols>
  <sheetData>
    <row r="1" spans="1:10" ht="22.35" customHeight="1">
      <c r="A1" s="54" t="s">
        <v>282</v>
      </c>
      <c r="B1" s="54"/>
      <c r="C1" s="54"/>
      <c r="D1" s="54"/>
      <c r="E1" s="54"/>
      <c r="F1" s="54"/>
      <c r="G1" s="54"/>
      <c r="H1" s="54"/>
      <c r="I1" s="54"/>
      <c r="J1" s="54"/>
    </row>
    <row r="2" spans="1:10">
      <c r="A2" s="4" t="s">
        <v>131</v>
      </c>
      <c r="B2" s="5" t="s">
        <v>132</v>
      </c>
      <c r="C2" s="5" t="s">
        <v>283</v>
      </c>
      <c r="D2" s="5" t="s">
        <v>284</v>
      </c>
      <c r="E2" s="5" t="s">
        <v>285</v>
      </c>
      <c r="F2" s="5" t="s">
        <v>286</v>
      </c>
      <c r="G2" s="5" t="s">
        <v>287</v>
      </c>
      <c r="H2" s="5" t="s">
        <v>288</v>
      </c>
      <c r="I2" s="5" t="s">
        <v>289</v>
      </c>
      <c r="J2" s="6" t="s">
        <v>290</v>
      </c>
    </row>
    <row r="3" spans="1:10" ht="27.6">
      <c r="A3" s="30" t="s">
        <v>238</v>
      </c>
      <c r="B3" s="31" t="s">
        <v>239</v>
      </c>
      <c r="C3" s="31" t="s">
        <v>54</v>
      </c>
      <c r="D3" s="13" t="s">
        <v>291</v>
      </c>
      <c r="E3" s="13" t="s">
        <v>292</v>
      </c>
      <c r="F3" s="13" t="s">
        <v>293</v>
      </c>
      <c r="G3" s="13" t="s">
        <v>294</v>
      </c>
      <c r="H3" s="13" t="s">
        <v>85</v>
      </c>
      <c r="I3" s="13" t="s">
        <v>295</v>
      </c>
      <c r="J3" s="32">
        <v>15</v>
      </c>
    </row>
    <row r="4" spans="1:10" ht="27.6">
      <c r="A4" s="30" t="s">
        <v>238</v>
      </c>
      <c r="B4" s="31" t="s">
        <v>239</v>
      </c>
      <c r="C4" s="31" t="s">
        <v>54</v>
      </c>
      <c r="D4" s="13" t="s">
        <v>291</v>
      </c>
      <c r="E4" s="13" t="s">
        <v>292</v>
      </c>
      <c r="F4" s="13" t="s">
        <v>296</v>
      </c>
      <c r="G4" s="13" t="s">
        <v>297</v>
      </c>
      <c r="H4" s="13" t="s">
        <v>94</v>
      </c>
      <c r="I4" s="13" t="s">
        <v>298</v>
      </c>
      <c r="J4" s="32">
        <v>15</v>
      </c>
    </row>
    <row r="5" spans="1:10" ht="27.6">
      <c r="A5" s="30" t="s">
        <v>238</v>
      </c>
      <c r="B5" s="31" t="s">
        <v>239</v>
      </c>
      <c r="C5" s="31" t="s">
        <v>54</v>
      </c>
      <c r="D5" s="13" t="s">
        <v>299</v>
      </c>
      <c r="E5" s="13" t="s">
        <v>300</v>
      </c>
      <c r="F5" s="13" t="s">
        <v>301</v>
      </c>
      <c r="G5" s="13" t="s">
        <v>302</v>
      </c>
      <c r="H5" s="13" t="s">
        <v>90</v>
      </c>
      <c r="I5" s="13" t="s">
        <v>303</v>
      </c>
      <c r="J5" s="32">
        <v>20</v>
      </c>
    </row>
    <row r="6" spans="1:10" ht="27.6">
      <c r="A6" s="30" t="s">
        <v>238</v>
      </c>
      <c r="B6" s="31" t="s">
        <v>239</v>
      </c>
      <c r="C6" s="31" t="s">
        <v>54</v>
      </c>
      <c r="D6" s="13" t="s">
        <v>299</v>
      </c>
      <c r="E6" s="13" t="s">
        <v>300</v>
      </c>
      <c r="F6" s="13" t="s">
        <v>304</v>
      </c>
      <c r="G6" s="13" t="s">
        <v>305</v>
      </c>
      <c r="H6" s="13" t="s">
        <v>102</v>
      </c>
      <c r="I6" s="13" t="s">
        <v>306</v>
      </c>
      <c r="J6" s="32">
        <v>20</v>
      </c>
    </row>
    <row r="7" spans="1:10" ht="27.6">
      <c r="A7" s="30" t="s">
        <v>238</v>
      </c>
      <c r="B7" s="31" t="s">
        <v>239</v>
      </c>
      <c r="C7" s="31" t="s">
        <v>54</v>
      </c>
      <c r="D7" s="13" t="s">
        <v>307</v>
      </c>
      <c r="E7" s="13" t="s">
        <v>308</v>
      </c>
      <c r="F7" s="13" t="s">
        <v>309</v>
      </c>
      <c r="G7" s="13" t="s">
        <v>310</v>
      </c>
      <c r="H7" s="13" t="s">
        <v>106</v>
      </c>
      <c r="I7" s="13" t="s">
        <v>311</v>
      </c>
      <c r="J7" s="32">
        <v>15</v>
      </c>
    </row>
    <row r="8" spans="1:10" ht="27.6">
      <c r="A8" s="30" t="s">
        <v>238</v>
      </c>
      <c r="B8" s="31" t="s">
        <v>239</v>
      </c>
      <c r="C8" s="31" t="s">
        <v>54</v>
      </c>
      <c r="D8" s="13" t="s">
        <v>307</v>
      </c>
      <c r="E8" s="13" t="s">
        <v>308</v>
      </c>
      <c r="F8" s="13" t="s">
        <v>312</v>
      </c>
      <c r="G8" s="13" t="s">
        <v>313</v>
      </c>
      <c r="H8" s="13" t="s">
        <v>121</v>
      </c>
      <c r="I8" s="13" t="s">
        <v>314</v>
      </c>
      <c r="J8" s="32">
        <v>15</v>
      </c>
    </row>
    <row r="9" spans="1:10" ht="27.6">
      <c r="A9" s="30" t="s">
        <v>222</v>
      </c>
      <c r="B9" s="31" t="s">
        <v>223</v>
      </c>
      <c r="C9" s="31" t="s">
        <v>58</v>
      </c>
      <c r="D9" s="13" t="s">
        <v>291</v>
      </c>
      <c r="E9" s="13" t="s">
        <v>315</v>
      </c>
      <c r="F9" s="13" t="s">
        <v>293</v>
      </c>
      <c r="G9" s="13" t="s">
        <v>316</v>
      </c>
      <c r="H9" s="13" t="s">
        <v>98</v>
      </c>
      <c r="I9" s="13" t="s">
        <v>317</v>
      </c>
      <c r="J9" s="32">
        <v>15</v>
      </c>
    </row>
    <row r="10" spans="1:10" ht="27.6">
      <c r="A10" s="30" t="s">
        <v>222</v>
      </c>
      <c r="B10" s="31" t="s">
        <v>223</v>
      </c>
      <c r="C10" s="31" t="s">
        <v>58</v>
      </c>
      <c r="D10" s="13" t="s">
        <v>291</v>
      </c>
      <c r="E10" s="13" t="s">
        <v>315</v>
      </c>
      <c r="F10" s="13" t="s">
        <v>296</v>
      </c>
      <c r="G10" s="13" t="s">
        <v>318</v>
      </c>
      <c r="H10" s="13" t="s">
        <v>98</v>
      </c>
      <c r="I10" s="13" t="s">
        <v>319</v>
      </c>
      <c r="J10" s="32">
        <v>15</v>
      </c>
    </row>
    <row r="11" spans="1:10" ht="27.6">
      <c r="A11" s="30" t="s">
        <v>222</v>
      </c>
      <c r="B11" s="31" t="s">
        <v>223</v>
      </c>
      <c r="C11" s="31" t="s">
        <v>58</v>
      </c>
      <c r="D11" s="13" t="s">
        <v>299</v>
      </c>
      <c r="E11" s="13" t="s">
        <v>320</v>
      </c>
      <c r="F11" s="13" t="s">
        <v>301</v>
      </c>
      <c r="G11" s="13" t="s">
        <v>321</v>
      </c>
      <c r="H11" s="13" t="s">
        <v>98</v>
      </c>
      <c r="I11" s="13" t="s">
        <v>306</v>
      </c>
      <c r="J11" s="32">
        <v>20</v>
      </c>
    </row>
    <row r="12" spans="1:10" ht="27.6">
      <c r="A12" s="30" t="s">
        <v>222</v>
      </c>
      <c r="B12" s="31" t="s">
        <v>223</v>
      </c>
      <c r="C12" s="31" t="s">
        <v>58</v>
      </c>
      <c r="D12" s="13" t="s">
        <v>299</v>
      </c>
      <c r="E12" s="13" t="s">
        <v>320</v>
      </c>
      <c r="F12" s="13" t="s">
        <v>304</v>
      </c>
      <c r="G12" s="13" t="s">
        <v>322</v>
      </c>
      <c r="H12" s="13" t="s">
        <v>121</v>
      </c>
      <c r="I12" s="13" t="s">
        <v>323</v>
      </c>
      <c r="J12" s="32">
        <v>15</v>
      </c>
    </row>
    <row r="13" spans="1:10" ht="27.6">
      <c r="A13" s="30" t="s">
        <v>222</v>
      </c>
      <c r="B13" s="31" t="s">
        <v>223</v>
      </c>
      <c r="C13" s="31" t="s">
        <v>58</v>
      </c>
      <c r="D13" s="13" t="s">
        <v>307</v>
      </c>
      <c r="E13" s="13" t="s">
        <v>324</v>
      </c>
      <c r="F13" s="13" t="s">
        <v>309</v>
      </c>
      <c r="G13" s="13" t="s">
        <v>325</v>
      </c>
      <c r="H13" s="13" t="s">
        <v>118</v>
      </c>
      <c r="I13" s="13" t="s">
        <v>326</v>
      </c>
      <c r="J13" s="32">
        <v>20</v>
      </c>
    </row>
    <row r="14" spans="1:10" ht="27.6">
      <c r="A14" s="30" t="s">
        <v>222</v>
      </c>
      <c r="B14" s="31" t="s">
        <v>223</v>
      </c>
      <c r="C14" s="31" t="s">
        <v>58</v>
      </c>
      <c r="D14" s="13" t="s">
        <v>307</v>
      </c>
      <c r="E14" s="13" t="s">
        <v>324</v>
      </c>
      <c r="F14" s="13" t="s">
        <v>312</v>
      </c>
      <c r="G14" s="13" t="s">
        <v>327</v>
      </c>
      <c r="H14" s="13" t="s">
        <v>98</v>
      </c>
      <c r="I14" s="13" t="s">
        <v>328</v>
      </c>
      <c r="J14" s="32">
        <v>15</v>
      </c>
    </row>
    <row r="15" spans="1:10" ht="27.6">
      <c r="A15" s="30" t="s">
        <v>204</v>
      </c>
      <c r="B15" s="31" t="s">
        <v>205</v>
      </c>
      <c r="C15" s="31" t="s">
        <v>62</v>
      </c>
      <c r="D15" s="13" t="s">
        <v>291</v>
      </c>
      <c r="E15" s="13" t="s">
        <v>329</v>
      </c>
      <c r="F15" s="13" t="s">
        <v>293</v>
      </c>
      <c r="G15" s="13" t="s">
        <v>330</v>
      </c>
      <c r="H15" s="13" t="s">
        <v>102</v>
      </c>
      <c r="I15" s="13" t="s">
        <v>298</v>
      </c>
      <c r="J15" s="32">
        <v>15</v>
      </c>
    </row>
    <row r="16" spans="1:10">
      <c r="A16" s="30" t="s">
        <v>204</v>
      </c>
      <c r="B16" s="31" t="s">
        <v>205</v>
      </c>
      <c r="C16" s="31" t="s">
        <v>62</v>
      </c>
      <c r="D16" s="13" t="s">
        <v>291</v>
      </c>
      <c r="E16" s="13" t="s">
        <v>329</v>
      </c>
      <c r="F16" s="13" t="s">
        <v>296</v>
      </c>
      <c r="G16" s="13" t="s">
        <v>331</v>
      </c>
      <c r="H16" s="13" t="s">
        <v>102</v>
      </c>
      <c r="I16" s="13" t="s">
        <v>332</v>
      </c>
      <c r="J16" s="32">
        <v>15</v>
      </c>
    </row>
    <row r="17" spans="1:10" ht="27.6">
      <c r="A17" s="30" t="s">
        <v>204</v>
      </c>
      <c r="B17" s="31" t="s">
        <v>205</v>
      </c>
      <c r="C17" s="31" t="s">
        <v>62</v>
      </c>
      <c r="D17" s="13" t="s">
        <v>299</v>
      </c>
      <c r="E17" s="13" t="s">
        <v>333</v>
      </c>
      <c r="F17" s="13" t="s">
        <v>301</v>
      </c>
      <c r="G17" s="13" t="s">
        <v>334</v>
      </c>
      <c r="H17" s="13" t="s">
        <v>102</v>
      </c>
      <c r="I17" s="13" t="s">
        <v>335</v>
      </c>
      <c r="J17" s="32">
        <v>20</v>
      </c>
    </row>
    <row r="18" spans="1:10" ht="27.6">
      <c r="A18" s="30" t="s">
        <v>204</v>
      </c>
      <c r="B18" s="31" t="s">
        <v>205</v>
      </c>
      <c r="C18" s="31" t="s">
        <v>62</v>
      </c>
      <c r="D18" s="13" t="s">
        <v>299</v>
      </c>
      <c r="E18" s="13" t="s">
        <v>333</v>
      </c>
      <c r="F18" s="13" t="s">
        <v>304</v>
      </c>
      <c r="G18" s="13" t="s">
        <v>336</v>
      </c>
      <c r="H18" s="13" t="s">
        <v>90</v>
      </c>
      <c r="I18" s="13" t="s">
        <v>306</v>
      </c>
      <c r="J18" s="32">
        <v>20</v>
      </c>
    </row>
    <row r="19" spans="1:10" ht="27.6">
      <c r="A19" s="30" t="s">
        <v>204</v>
      </c>
      <c r="B19" s="31" t="s">
        <v>205</v>
      </c>
      <c r="C19" s="31" t="s">
        <v>62</v>
      </c>
      <c r="D19" s="13" t="s">
        <v>307</v>
      </c>
      <c r="E19" s="13" t="s">
        <v>337</v>
      </c>
      <c r="F19" s="13" t="s">
        <v>309</v>
      </c>
      <c r="G19" s="13" t="s">
        <v>338</v>
      </c>
      <c r="H19" s="13" t="s">
        <v>102</v>
      </c>
      <c r="I19" s="13" t="s">
        <v>311</v>
      </c>
      <c r="J19" s="32">
        <v>15</v>
      </c>
    </row>
    <row r="20" spans="1:10">
      <c r="A20" s="30" t="s">
        <v>204</v>
      </c>
      <c r="B20" s="31" t="s">
        <v>205</v>
      </c>
      <c r="C20" s="31" t="s">
        <v>62</v>
      </c>
      <c r="D20" s="13" t="s">
        <v>307</v>
      </c>
      <c r="E20" s="13" t="s">
        <v>337</v>
      </c>
      <c r="F20" s="13" t="s">
        <v>312</v>
      </c>
      <c r="G20" s="13" t="s">
        <v>339</v>
      </c>
      <c r="H20" s="13" t="s">
        <v>121</v>
      </c>
      <c r="I20" s="13" t="s">
        <v>340</v>
      </c>
      <c r="J20" s="32">
        <v>15</v>
      </c>
    </row>
    <row r="21" spans="1:10" ht="27.6">
      <c r="A21" s="30" t="s">
        <v>188</v>
      </c>
      <c r="B21" s="31" t="s">
        <v>189</v>
      </c>
      <c r="C21" s="31" t="s">
        <v>66</v>
      </c>
      <c r="D21" s="13" t="s">
        <v>291</v>
      </c>
      <c r="E21" s="13" t="s">
        <v>341</v>
      </c>
      <c r="F21" s="13" t="s">
        <v>293</v>
      </c>
      <c r="G21" s="13" t="s">
        <v>342</v>
      </c>
      <c r="H21" s="13" t="s">
        <v>106</v>
      </c>
      <c r="I21" s="13" t="s">
        <v>343</v>
      </c>
      <c r="J21" s="32">
        <v>15</v>
      </c>
    </row>
    <row r="22" spans="1:10" ht="27.6">
      <c r="A22" s="30" t="s">
        <v>188</v>
      </c>
      <c r="B22" s="31" t="s">
        <v>189</v>
      </c>
      <c r="C22" s="31" t="s">
        <v>66</v>
      </c>
      <c r="D22" s="13" t="s">
        <v>291</v>
      </c>
      <c r="E22" s="13" t="s">
        <v>341</v>
      </c>
      <c r="F22" s="13" t="s">
        <v>296</v>
      </c>
      <c r="G22" s="13" t="s">
        <v>344</v>
      </c>
      <c r="H22" s="13" t="s">
        <v>106</v>
      </c>
      <c r="I22" s="13" t="s">
        <v>317</v>
      </c>
      <c r="J22" s="32">
        <v>15</v>
      </c>
    </row>
    <row r="23" spans="1:10">
      <c r="A23" s="30" t="s">
        <v>188</v>
      </c>
      <c r="B23" s="31" t="s">
        <v>189</v>
      </c>
      <c r="C23" s="31" t="s">
        <v>66</v>
      </c>
      <c r="D23" s="13" t="s">
        <v>299</v>
      </c>
      <c r="E23" s="13" t="s">
        <v>345</v>
      </c>
      <c r="F23" s="13" t="s">
        <v>301</v>
      </c>
      <c r="G23" s="13" t="s">
        <v>346</v>
      </c>
      <c r="H23" s="13" t="s">
        <v>106</v>
      </c>
      <c r="I23" s="13" t="s">
        <v>335</v>
      </c>
      <c r="J23" s="32">
        <v>20</v>
      </c>
    </row>
    <row r="24" spans="1:10">
      <c r="A24" s="30" t="s">
        <v>188</v>
      </c>
      <c r="B24" s="31" t="s">
        <v>189</v>
      </c>
      <c r="C24" s="31" t="s">
        <v>66</v>
      </c>
      <c r="D24" s="13" t="s">
        <v>299</v>
      </c>
      <c r="E24" s="13" t="s">
        <v>345</v>
      </c>
      <c r="F24" s="13" t="s">
        <v>304</v>
      </c>
      <c r="G24" s="13" t="s">
        <v>347</v>
      </c>
      <c r="H24" s="13" t="s">
        <v>118</v>
      </c>
      <c r="I24" s="13" t="s">
        <v>348</v>
      </c>
      <c r="J24" s="32">
        <v>15</v>
      </c>
    </row>
    <row r="25" spans="1:10" ht="27.6">
      <c r="A25" s="30" t="s">
        <v>188</v>
      </c>
      <c r="B25" s="31" t="s">
        <v>189</v>
      </c>
      <c r="C25" s="31" t="s">
        <v>66</v>
      </c>
      <c r="D25" s="13" t="s">
        <v>307</v>
      </c>
      <c r="E25" s="13" t="s">
        <v>349</v>
      </c>
      <c r="F25" s="13" t="s">
        <v>309</v>
      </c>
      <c r="G25" s="13" t="s">
        <v>350</v>
      </c>
      <c r="H25" s="13" t="s">
        <v>106</v>
      </c>
      <c r="I25" s="13" t="s">
        <v>306</v>
      </c>
      <c r="J25" s="32">
        <v>20</v>
      </c>
    </row>
    <row r="26" spans="1:10" ht="27.6">
      <c r="A26" s="30" t="s">
        <v>188</v>
      </c>
      <c r="B26" s="31" t="s">
        <v>189</v>
      </c>
      <c r="C26" s="31" t="s">
        <v>66</v>
      </c>
      <c r="D26" s="13" t="s">
        <v>307</v>
      </c>
      <c r="E26" s="13" t="s">
        <v>349</v>
      </c>
      <c r="F26" s="13" t="s">
        <v>312</v>
      </c>
      <c r="G26" s="13" t="s">
        <v>351</v>
      </c>
      <c r="H26" s="13" t="s">
        <v>121</v>
      </c>
      <c r="I26" s="13" t="s">
        <v>328</v>
      </c>
      <c r="J26" s="32">
        <v>15</v>
      </c>
    </row>
    <row r="27" spans="1:10" ht="27.6">
      <c r="A27" s="30" t="s">
        <v>240</v>
      </c>
      <c r="B27" s="31" t="s">
        <v>241</v>
      </c>
      <c r="C27" s="31" t="s">
        <v>70</v>
      </c>
      <c r="D27" s="13" t="s">
        <v>291</v>
      </c>
      <c r="E27" s="13" t="s">
        <v>352</v>
      </c>
      <c r="F27" s="13" t="s">
        <v>293</v>
      </c>
      <c r="G27" s="13" t="s">
        <v>353</v>
      </c>
      <c r="H27" s="13" t="s">
        <v>114</v>
      </c>
      <c r="I27" s="13" t="s">
        <v>354</v>
      </c>
      <c r="J27" s="32">
        <v>15</v>
      </c>
    </row>
    <row r="28" spans="1:10" ht="27.6">
      <c r="A28" s="30" t="s">
        <v>240</v>
      </c>
      <c r="B28" s="31" t="s">
        <v>241</v>
      </c>
      <c r="C28" s="31" t="s">
        <v>70</v>
      </c>
      <c r="D28" s="13" t="s">
        <v>291</v>
      </c>
      <c r="E28" s="13" t="s">
        <v>352</v>
      </c>
      <c r="F28" s="13" t="s">
        <v>296</v>
      </c>
      <c r="G28" s="13" t="s">
        <v>355</v>
      </c>
      <c r="H28" s="13" t="s">
        <v>114</v>
      </c>
      <c r="I28" s="13" t="s">
        <v>356</v>
      </c>
      <c r="J28" s="32">
        <v>15</v>
      </c>
    </row>
    <row r="29" spans="1:10">
      <c r="A29" s="30" t="s">
        <v>240</v>
      </c>
      <c r="B29" s="31" t="s">
        <v>241</v>
      </c>
      <c r="C29" s="31" t="s">
        <v>70</v>
      </c>
      <c r="D29" s="13" t="s">
        <v>299</v>
      </c>
      <c r="E29" s="13" t="s">
        <v>357</v>
      </c>
      <c r="F29" s="13" t="s">
        <v>301</v>
      </c>
      <c r="G29" s="13" t="s">
        <v>358</v>
      </c>
      <c r="H29" s="13" t="s">
        <v>114</v>
      </c>
      <c r="I29" s="13" t="s">
        <v>306</v>
      </c>
      <c r="J29" s="32">
        <v>20</v>
      </c>
    </row>
    <row r="30" spans="1:10">
      <c r="A30" s="30" t="s">
        <v>240</v>
      </c>
      <c r="B30" s="31" t="s">
        <v>241</v>
      </c>
      <c r="C30" s="31" t="s">
        <v>70</v>
      </c>
      <c r="D30" s="13" t="s">
        <v>299</v>
      </c>
      <c r="E30" s="13" t="s">
        <v>357</v>
      </c>
      <c r="F30" s="13" t="s">
        <v>304</v>
      </c>
      <c r="G30" s="13" t="s">
        <v>359</v>
      </c>
      <c r="H30" s="13" t="s">
        <v>114</v>
      </c>
      <c r="I30" s="13" t="s">
        <v>306</v>
      </c>
      <c r="J30" s="32">
        <v>20</v>
      </c>
    </row>
    <row r="31" spans="1:10">
      <c r="A31" s="30" t="s">
        <v>240</v>
      </c>
      <c r="B31" s="31" t="s">
        <v>241</v>
      </c>
      <c r="C31" s="31" t="s">
        <v>70</v>
      </c>
      <c r="D31" s="13" t="s">
        <v>307</v>
      </c>
      <c r="E31" s="13" t="s">
        <v>360</v>
      </c>
      <c r="F31" s="13" t="s">
        <v>309</v>
      </c>
      <c r="G31" s="13" t="s">
        <v>361</v>
      </c>
      <c r="H31" s="13" t="s">
        <v>118</v>
      </c>
      <c r="I31" s="13" t="s">
        <v>362</v>
      </c>
      <c r="J31" s="32">
        <v>15</v>
      </c>
    </row>
    <row r="32" spans="1:10">
      <c r="A32" s="30" t="s">
        <v>240</v>
      </c>
      <c r="B32" s="31" t="s">
        <v>241</v>
      </c>
      <c r="C32" s="31" t="s">
        <v>70</v>
      </c>
      <c r="D32" s="13" t="s">
        <v>307</v>
      </c>
      <c r="E32" s="13" t="s">
        <v>360</v>
      </c>
      <c r="F32" s="13" t="s">
        <v>312</v>
      </c>
      <c r="G32" s="13" t="s">
        <v>363</v>
      </c>
      <c r="H32" s="13" t="s">
        <v>121</v>
      </c>
      <c r="I32" s="13" t="s">
        <v>364</v>
      </c>
      <c r="J32" s="32">
        <v>15</v>
      </c>
    </row>
    <row r="33" spans="1:10" ht="27.6">
      <c r="A33" s="30" t="s">
        <v>242</v>
      </c>
      <c r="B33" s="31" t="s">
        <v>243</v>
      </c>
      <c r="C33" s="31" t="s">
        <v>74</v>
      </c>
      <c r="D33" s="13" t="s">
        <v>291</v>
      </c>
      <c r="E33" s="13" t="s">
        <v>365</v>
      </c>
      <c r="F33" s="13" t="s">
        <v>293</v>
      </c>
      <c r="G33" s="13" t="s">
        <v>366</v>
      </c>
      <c r="H33" s="13" t="s">
        <v>110</v>
      </c>
      <c r="I33" s="13" t="s">
        <v>317</v>
      </c>
      <c r="J33" s="32">
        <v>15</v>
      </c>
    </row>
    <row r="34" spans="1:10" ht="27.6">
      <c r="A34" s="30" t="s">
        <v>242</v>
      </c>
      <c r="B34" s="31" t="s">
        <v>243</v>
      </c>
      <c r="C34" s="31" t="s">
        <v>74</v>
      </c>
      <c r="D34" s="13" t="s">
        <v>291</v>
      </c>
      <c r="E34" s="13" t="s">
        <v>365</v>
      </c>
      <c r="F34" s="13" t="s">
        <v>296</v>
      </c>
      <c r="G34" s="13" t="s">
        <v>367</v>
      </c>
      <c r="H34" s="13" t="s">
        <v>110</v>
      </c>
      <c r="I34" s="13" t="s">
        <v>319</v>
      </c>
      <c r="J34" s="32">
        <v>15</v>
      </c>
    </row>
    <row r="35" spans="1:10">
      <c r="A35" s="30" t="s">
        <v>242</v>
      </c>
      <c r="B35" s="31" t="s">
        <v>243</v>
      </c>
      <c r="C35" s="31" t="s">
        <v>74</v>
      </c>
      <c r="D35" s="13" t="s">
        <v>299</v>
      </c>
      <c r="E35" s="13" t="s">
        <v>368</v>
      </c>
      <c r="F35" s="13" t="s">
        <v>301</v>
      </c>
      <c r="G35" s="13" t="s">
        <v>369</v>
      </c>
      <c r="H35" s="13" t="s">
        <v>118</v>
      </c>
      <c r="I35" s="13" t="s">
        <v>370</v>
      </c>
      <c r="J35" s="32">
        <v>20</v>
      </c>
    </row>
    <row r="36" spans="1:10">
      <c r="A36" s="30" t="s">
        <v>242</v>
      </c>
      <c r="B36" s="31" t="s">
        <v>243</v>
      </c>
      <c r="C36" s="31" t="s">
        <v>74</v>
      </c>
      <c r="D36" s="13" t="s">
        <v>299</v>
      </c>
      <c r="E36" s="13" t="s">
        <v>368</v>
      </c>
      <c r="F36" s="13" t="s">
        <v>304</v>
      </c>
      <c r="G36" s="13" t="s">
        <v>371</v>
      </c>
      <c r="H36" s="13" t="s">
        <v>110</v>
      </c>
      <c r="I36" s="13" t="s">
        <v>370</v>
      </c>
      <c r="J36" s="32">
        <v>20</v>
      </c>
    </row>
    <row r="37" spans="1:10" ht="27.6">
      <c r="A37" s="30" t="s">
        <v>242</v>
      </c>
      <c r="B37" s="31" t="s">
        <v>243</v>
      </c>
      <c r="C37" s="31" t="s">
        <v>74</v>
      </c>
      <c r="D37" s="13" t="s">
        <v>307</v>
      </c>
      <c r="E37" s="13" t="s">
        <v>372</v>
      </c>
      <c r="F37" s="13" t="s">
        <v>309</v>
      </c>
      <c r="G37" s="13" t="s">
        <v>373</v>
      </c>
      <c r="H37" s="13" t="s">
        <v>110</v>
      </c>
      <c r="I37" s="13" t="s">
        <v>340</v>
      </c>
      <c r="J37" s="32">
        <v>15</v>
      </c>
    </row>
    <row r="38" spans="1:10" ht="27.6">
      <c r="A38" s="33" t="s">
        <v>242</v>
      </c>
      <c r="B38" s="34" t="s">
        <v>243</v>
      </c>
      <c r="C38" s="34" t="s">
        <v>74</v>
      </c>
      <c r="D38" s="14" t="s">
        <v>307</v>
      </c>
      <c r="E38" s="14" t="s">
        <v>372</v>
      </c>
      <c r="F38" s="14" t="s">
        <v>312</v>
      </c>
      <c r="G38" s="14" t="s">
        <v>374</v>
      </c>
      <c r="H38" s="14" t="s">
        <v>121</v>
      </c>
      <c r="I38" s="14" t="s">
        <v>375</v>
      </c>
      <c r="J38" s="35">
        <v>15</v>
      </c>
    </row>
    <row r="40" spans="1:10" ht="27.6">
      <c r="A40" s="4" t="s">
        <v>131</v>
      </c>
      <c r="B40" s="5" t="s">
        <v>132</v>
      </c>
      <c r="C40" s="5" t="s">
        <v>376</v>
      </c>
      <c r="D40" s="6" t="s">
        <v>377</v>
      </c>
    </row>
    <row r="41" spans="1:10">
      <c r="A41" s="7" t="s">
        <v>238</v>
      </c>
      <c r="B41" s="8" t="s">
        <v>239</v>
      </c>
      <c r="C41" s="8">
        <v>100</v>
      </c>
      <c r="D41" s="9" t="s">
        <v>378</v>
      </c>
    </row>
    <row r="42" spans="1:10">
      <c r="A42" s="7" t="s">
        <v>222</v>
      </c>
      <c r="B42" s="8" t="s">
        <v>223</v>
      </c>
      <c r="C42" s="8">
        <v>100</v>
      </c>
      <c r="D42" s="9" t="s">
        <v>378</v>
      </c>
    </row>
    <row r="43" spans="1:10">
      <c r="A43" s="7" t="s">
        <v>204</v>
      </c>
      <c r="B43" s="8" t="s">
        <v>205</v>
      </c>
      <c r="C43" s="8">
        <v>100</v>
      </c>
      <c r="D43" s="9" t="s">
        <v>378</v>
      </c>
    </row>
    <row r="44" spans="1:10">
      <c r="A44" s="7" t="s">
        <v>188</v>
      </c>
      <c r="B44" s="8" t="s">
        <v>189</v>
      </c>
      <c r="C44" s="8">
        <v>100</v>
      </c>
      <c r="D44" s="9" t="s">
        <v>378</v>
      </c>
    </row>
    <row r="45" spans="1:10">
      <c r="A45" s="7" t="s">
        <v>240</v>
      </c>
      <c r="B45" s="8" t="s">
        <v>241</v>
      </c>
      <c r="C45" s="8">
        <v>100</v>
      </c>
      <c r="D45" s="9" t="s">
        <v>378</v>
      </c>
    </row>
    <row r="46" spans="1:10">
      <c r="A46" s="10" t="s">
        <v>242</v>
      </c>
      <c r="B46" s="11" t="s">
        <v>243</v>
      </c>
      <c r="C46" s="11">
        <v>100</v>
      </c>
      <c r="D46" s="12" t="s">
        <v>378</v>
      </c>
    </row>
  </sheetData>
  <mergeCells count="1">
    <mergeCell ref="A1:J1"/>
  </mergeCells>
  <pageMargins left="0.25" right="0.25" top="0.75" bottom="0.75" header="0.3" footer="0.3"/>
  <pageSetup paperSize="9" scale="5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32"/>
  <sheetViews>
    <sheetView workbookViewId="0"/>
  </sheetViews>
  <sheetFormatPr defaultRowHeight="13.8"/>
  <cols>
    <col min="1" max="1" width="6" customWidth="1"/>
    <col min="2" max="2" width="14" customWidth="1"/>
    <col min="3" max="3" width="28" customWidth="1"/>
    <col min="4" max="7" width="10" customWidth="1"/>
    <col min="8" max="8" width="11" customWidth="1"/>
    <col min="9" max="9" width="10" customWidth="1"/>
    <col min="10" max="10" width="12" customWidth="1"/>
    <col min="11" max="13" width="10" customWidth="1"/>
    <col min="14" max="14" width="18" customWidth="1"/>
  </cols>
  <sheetData>
    <row r="1" spans="1:14" ht="22.35" customHeight="1">
      <c r="A1" s="54" t="s">
        <v>379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>
      <c r="A2" s="58" t="s">
        <v>380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41.4">
      <c r="A3" s="1" t="s">
        <v>381</v>
      </c>
      <c r="B3" s="2" t="s">
        <v>382</v>
      </c>
      <c r="C3" s="2" t="s">
        <v>383</v>
      </c>
      <c r="D3" s="2" t="s">
        <v>356</v>
      </c>
      <c r="E3" s="2" t="s">
        <v>343</v>
      </c>
      <c r="F3" s="2" t="s">
        <v>384</v>
      </c>
      <c r="G3" s="2" t="s">
        <v>385</v>
      </c>
      <c r="H3" s="2" t="s">
        <v>386</v>
      </c>
      <c r="I3" s="2" t="s">
        <v>306</v>
      </c>
      <c r="J3" s="2" t="s">
        <v>387</v>
      </c>
      <c r="K3" s="2" t="s">
        <v>291</v>
      </c>
      <c r="L3" s="2" t="s">
        <v>299</v>
      </c>
      <c r="M3" s="2" t="s">
        <v>307</v>
      </c>
      <c r="N3" s="3" t="s">
        <v>4</v>
      </c>
    </row>
    <row r="4" spans="1:14" ht="27.6">
      <c r="A4" s="1" t="s">
        <v>290</v>
      </c>
      <c r="B4" s="2">
        <v>100</v>
      </c>
      <c r="C4" s="2"/>
      <c r="D4" s="36">
        <v>0.15</v>
      </c>
      <c r="E4" s="36">
        <v>0.1</v>
      </c>
      <c r="F4" s="36">
        <v>0.2</v>
      </c>
      <c r="G4" s="36">
        <v>0.2</v>
      </c>
      <c r="H4" s="36">
        <v>0.1</v>
      </c>
      <c r="I4" s="36">
        <v>0.25</v>
      </c>
      <c r="J4" s="2" t="s">
        <v>388</v>
      </c>
      <c r="K4" s="2">
        <v>75</v>
      </c>
      <c r="L4" s="2">
        <v>75</v>
      </c>
      <c r="M4" s="2">
        <v>75</v>
      </c>
      <c r="N4" s="3"/>
    </row>
    <row r="6" spans="1:14">
      <c r="A6" s="4" t="s">
        <v>1</v>
      </c>
      <c r="B6" s="5" t="s">
        <v>389</v>
      </c>
      <c r="C6" s="5" t="s">
        <v>390</v>
      </c>
      <c r="D6" s="5" t="s">
        <v>356</v>
      </c>
      <c r="E6" s="5" t="s">
        <v>343</v>
      </c>
      <c r="F6" s="5" t="s">
        <v>384</v>
      </c>
      <c r="G6" s="5" t="s">
        <v>385</v>
      </c>
      <c r="H6" s="5" t="s">
        <v>386</v>
      </c>
      <c r="I6" s="5" t="s">
        <v>306</v>
      </c>
      <c r="J6" s="5" t="s">
        <v>387</v>
      </c>
      <c r="K6" s="5" t="s">
        <v>291</v>
      </c>
      <c r="L6" s="5" t="s">
        <v>299</v>
      </c>
      <c r="M6" s="5" t="s">
        <v>307</v>
      </c>
      <c r="N6" s="6" t="s">
        <v>391</v>
      </c>
    </row>
    <row r="7" spans="1:14">
      <c r="A7" s="7">
        <v>1</v>
      </c>
      <c r="B7" s="8"/>
      <c r="C7" s="8"/>
      <c r="D7" s="8"/>
      <c r="E7" s="8"/>
      <c r="F7" s="8"/>
      <c r="G7" s="8"/>
      <c r="H7" s="8"/>
      <c r="I7" s="8"/>
      <c r="J7" s="8" t="str">
        <f t="shared" ref="J7:J26" si="0">IF(COUNTA(D7:I7)=0,"",D7*$D$4+E7*$E$4+F7*$F$4+G7*$G$4+H7*$H$4+I7*$I$4)</f>
        <v/>
      </c>
      <c r="K7" s="8" t="str">
        <f t="shared" ref="K7:K26" si="1">IF(COUNTA(D7:F7)=0,"",(D7*$D$4+E7*$E$4+F7*$F$4)/SUM($D$4:$F$4))</f>
        <v/>
      </c>
      <c r="L7" s="8" t="str">
        <f t="shared" ref="L7:L26" si="2">IF(COUNTA(G7:H7)=0,"",(G7*$G$4+H7*$H$4)/SUM($G$4:$H$4))</f>
        <v/>
      </c>
      <c r="M7" s="8" t="str">
        <f t="shared" ref="M7:M26" si="3">IF(I7="","",I7)</f>
        <v/>
      </c>
      <c r="N7" s="9" t="str">
        <f t="shared" ref="N7:N26" si="4">IF(J7="","",IF(J7&gt;=75,"Tercapai","Belum Tercapai"))</f>
        <v/>
      </c>
    </row>
    <row r="8" spans="1:14">
      <c r="A8" s="7">
        <v>2</v>
      </c>
      <c r="B8" s="8"/>
      <c r="C8" s="8"/>
      <c r="D8" s="8"/>
      <c r="E8" s="8"/>
      <c r="F8" s="8"/>
      <c r="G8" s="8"/>
      <c r="H8" s="8"/>
      <c r="I8" s="8"/>
      <c r="J8" s="8" t="str">
        <f t="shared" si="0"/>
        <v/>
      </c>
      <c r="K8" s="8" t="str">
        <f t="shared" si="1"/>
        <v/>
      </c>
      <c r="L8" s="8" t="str">
        <f t="shared" si="2"/>
        <v/>
      </c>
      <c r="M8" s="8" t="str">
        <f t="shared" si="3"/>
        <v/>
      </c>
      <c r="N8" s="9" t="str">
        <f t="shared" si="4"/>
        <v/>
      </c>
    </row>
    <row r="9" spans="1:14">
      <c r="A9" s="7">
        <v>3</v>
      </c>
      <c r="B9" s="8"/>
      <c r="C9" s="8"/>
      <c r="D9" s="8"/>
      <c r="E9" s="8"/>
      <c r="F9" s="8"/>
      <c r="G9" s="8"/>
      <c r="H9" s="8"/>
      <c r="I9" s="8"/>
      <c r="J9" s="8" t="str">
        <f t="shared" si="0"/>
        <v/>
      </c>
      <c r="K9" s="8" t="str">
        <f t="shared" si="1"/>
        <v/>
      </c>
      <c r="L9" s="8" t="str">
        <f t="shared" si="2"/>
        <v/>
      </c>
      <c r="M9" s="8" t="str">
        <f t="shared" si="3"/>
        <v/>
      </c>
      <c r="N9" s="9" t="str">
        <f t="shared" si="4"/>
        <v/>
      </c>
    </row>
    <row r="10" spans="1:14">
      <c r="A10" s="7">
        <v>4</v>
      </c>
      <c r="B10" s="8"/>
      <c r="C10" s="8"/>
      <c r="D10" s="8"/>
      <c r="E10" s="8"/>
      <c r="F10" s="8"/>
      <c r="G10" s="8"/>
      <c r="H10" s="8"/>
      <c r="I10" s="8"/>
      <c r="J10" s="8" t="str">
        <f t="shared" si="0"/>
        <v/>
      </c>
      <c r="K10" s="8" t="str">
        <f t="shared" si="1"/>
        <v/>
      </c>
      <c r="L10" s="8" t="str">
        <f t="shared" si="2"/>
        <v/>
      </c>
      <c r="M10" s="8" t="str">
        <f t="shared" si="3"/>
        <v/>
      </c>
      <c r="N10" s="9" t="str">
        <f t="shared" si="4"/>
        <v/>
      </c>
    </row>
    <row r="11" spans="1:14">
      <c r="A11" s="7">
        <v>5</v>
      </c>
      <c r="B11" s="8"/>
      <c r="C11" s="8"/>
      <c r="D11" s="8"/>
      <c r="E11" s="8"/>
      <c r="F11" s="8"/>
      <c r="G11" s="8"/>
      <c r="H11" s="8"/>
      <c r="I11" s="8"/>
      <c r="J11" s="8" t="str">
        <f t="shared" si="0"/>
        <v/>
      </c>
      <c r="K11" s="8" t="str">
        <f t="shared" si="1"/>
        <v/>
      </c>
      <c r="L11" s="8" t="str">
        <f t="shared" si="2"/>
        <v/>
      </c>
      <c r="M11" s="8" t="str">
        <f t="shared" si="3"/>
        <v/>
      </c>
      <c r="N11" s="9" t="str">
        <f t="shared" si="4"/>
        <v/>
      </c>
    </row>
    <row r="12" spans="1:14">
      <c r="A12" s="7">
        <v>6</v>
      </c>
      <c r="B12" s="8"/>
      <c r="C12" s="8"/>
      <c r="D12" s="8"/>
      <c r="E12" s="8"/>
      <c r="F12" s="8"/>
      <c r="G12" s="8"/>
      <c r="H12" s="8"/>
      <c r="I12" s="8"/>
      <c r="J12" s="8" t="str">
        <f t="shared" si="0"/>
        <v/>
      </c>
      <c r="K12" s="8" t="str">
        <f t="shared" si="1"/>
        <v/>
      </c>
      <c r="L12" s="8" t="str">
        <f t="shared" si="2"/>
        <v/>
      </c>
      <c r="M12" s="8" t="str">
        <f t="shared" si="3"/>
        <v/>
      </c>
      <c r="N12" s="9" t="str">
        <f t="shared" si="4"/>
        <v/>
      </c>
    </row>
    <row r="13" spans="1:14">
      <c r="A13" s="7">
        <v>7</v>
      </c>
      <c r="B13" s="8"/>
      <c r="C13" s="8"/>
      <c r="D13" s="8"/>
      <c r="E13" s="8"/>
      <c r="F13" s="8"/>
      <c r="G13" s="8"/>
      <c r="H13" s="8"/>
      <c r="I13" s="8"/>
      <c r="J13" s="8" t="str">
        <f t="shared" si="0"/>
        <v/>
      </c>
      <c r="K13" s="8" t="str">
        <f t="shared" si="1"/>
        <v/>
      </c>
      <c r="L13" s="8" t="str">
        <f t="shared" si="2"/>
        <v/>
      </c>
      <c r="M13" s="8" t="str">
        <f t="shared" si="3"/>
        <v/>
      </c>
      <c r="N13" s="9" t="str">
        <f t="shared" si="4"/>
        <v/>
      </c>
    </row>
    <row r="14" spans="1:14">
      <c r="A14" s="7">
        <v>8</v>
      </c>
      <c r="B14" s="8"/>
      <c r="C14" s="8"/>
      <c r="D14" s="8"/>
      <c r="E14" s="8"/>
      <c r="F14" s="8"/>
      <c r="G14" s="8"/>
      <c r="H14" s="8"/>
      <c r="I14" s="8"/>
      <c r="J14" s="8" t="str">
        <f t="shared" si="0"/>
        <v/>
      </c>
      <c r="K14" s="8" t="str">
        <f t="shared" si="1"/>
        <v/>
      </c>
      <c r="L14" s="8" t="str">
        <f t="shared" si="2"/>
        <v/>
      </c>
      <c r="M14" s="8" t="str">
        <f t="shared" si="3"/>
        <v/>
      </c>
      <c r="N14" s="9" t="str">
        <f t="shared" si="4"/>
        <v/>
      </c>
    </row>
    <row r="15" spans="1:14">
      <c r="A15" s="7">
        <v>9</v>
      </c>
      <c r="B15" s="8"/>
      <c r="C15" s="8"/>
      <c r="D15" s="8"/>
      <c r="E15" s="8"/>
      <c r="F15" s="8"/>
      <c r="G15" s="8"/>
      <c r="H15" s="8"/>
      <c r="I15" s="8"/>
      <c r="J15" s="8" t="str">
        <f t="shared" si="0"/>
        <v/>
      </c>
      <c r="K15" s="8" t="str">
        <f t="shared" si="1"/>
        <v/>
      </c>
      <c r="L15" s="8" t="str">
        <f t="shared" si="2"/>
        <v/>
      </c>
      <c r="M15" s="8" t="str">
        <f t="shared" si="3"/>
        <v/>
      </c>
      <c r="N15" s="9" t="str">
        <f t="shared" si="4"/>
        <v/>
      </c>
    </row>
    <row r="16" spans="1:14">
      <c r="A16" s="7">
        <v>10</v>
      </c>
      <c r="B16" s="8"/>
      <c r="C16" s="8"/>
      <c r="D16" s="8"/>
      <c r="E16" s="8"/>
      <c r="F16" s="8"/>
      <c r="G16" s="8"/>
      <c r="H16" s="8"/>
      <c r="I16" s="8"/>
      <c r="J16" s="8" t="str">
        <f t="shared" si="0"/>
        <v/>
      </c>
      <c r="K16" s="8" t="str">
        <f t="shared" si="1"/>
        <v/>
      </c>
      <c r="L16" s="8" t="str">
        <f t="shared" si="2"/>
        <v/>
      </c>
      <c r="M16" s="8" t="str">
        <f t="shared" si="3"/>
        <v/>
      </c>
      <c r="N16" s="9" t="str">
        <f t="shared" si="4"/>
        <v/>
      </c>
    </row>
    <row r="17" spans="1:14">
      <c r="A17" s="7">
        <v>11</v>
      </c>
      <c r="B17" s="8"/>
      <c r="C17" s="8"/>
      <c r="D17" s="8"/>
      <c r="E17" s="8"/>
      <c r="F17" s="8"/>
      <c r="G17" s="8"/>
      <c r="H17" s="8"/>
      <c r="I17" s="8"/>
      <c r="J17" s="8" t="str">
        <f t="shared" si="0"/>
        <v/>
      </c>
      <c r="K17" s="8" t="str">
        <f t="shared" si="1"/>
        <v/>
      </c>
      <c r="L17" s="8" t="str">
        <f t="shared" si="2"/>
        <v/>
      </c>
      <c r="M17" s="8" t="str">
        <f t="shared" si="3"/>
        <v/>
      </c>
      <c r="N17" s="9" t="str">
        <f t="shared" si="4"/>
        <v/>
      </c>
    </row>
    <row r="18" spans="1:14">
      <c r="A18" s="7">
        <v>12</v>
      </c>
      <c r="B18" s="8"/>
      <c r="C18" s="8"/>
      <c r="D18" s="8"/>
      <c r="E18" s="8"/>
      <c r="F18" s="8"/>
      <c r="G18" s="8"/>
      <c r="H18" s="8"/>
      <c r="I18" s="8"/>
      <c r="J18" s="8" t="str">
        <f t="shared" si="0"/>
        <v/>
      </c>
      <c r="K18" s="8" t="str">
        <f t="shared" si="1"/>
        <v/>
      </c>
      <c r="L18" s="8" t="str">
        <f t="shared" si="2"/>
        <v/>
      </c>
      <c r="M18" s="8" t="str">
        <f t="shared" si="3"/>
        <v/>
      </c>
      <c r="N18" s="9" t="str">
        <f t="shared" si="4"/>
        <v/>
      </c>
    </row>
    <row r="19" spans="1:14">
      <c r="A19" s="7">
        <v>13</v>
      </c>
      <c r="B19" s="8"/>
      <c r="C19" s="8"/>
      <c r="D19" s="8"/>
      <c r="E19" s="8"/>
      <c r="F19" s="8"/>
      <c r="G19" s="8"/>
      <c r="H19" s="8"/>
      <c r="I19" s="8"/>
      <c r="J19" s="8" t="str">
        <f t="shared" si="0"/>
        <v/>
      </c>
      <c r="K19" s="8" t="str">
        <f t="shared" si="1"/>
        <v/>
      </c>
      <c r="L19" s="8" t="str">
        <f t="shared" si="2"/>
        <v/>
      </c>
      <c r="M19" s="8" t="str">
        <f t="shared" si="3"/>
        <v/>
      </c>
      <c r="N19" s="9" t="str">
        <f t="shared" si="4"/>
        <v/>
      </c>
    </row>
    <row r="20" spans="1:14">
      <c r="A20" s="7">
        <v>14</v>
      </c>
      <c r="B20" s="8"/>
      <c r="C20" s="8"/>
      <c r="D20" s="8"/>
      <c r="E20" s="8"/>
      <c r="F20" s="8"/>
      <c r="G20" s="8"/>
      <c r="H20" s="8"/>
      <c r="I20" s="8"/>
      <c r="J20" s="8" t="str">
        <f t="shared" si="0"/>
        <v/>
      </c>
      <c r="K20" s="8" t="str">
        <f t="shared" si="1"/>
        <v/>
      </c>
      <c r="L20" s="8" t="str">
        <f t="shared" si="2"/>
        <v/>
      </c>
      <c r="M20" s="8" t="str">
        <f t="shared" si="3"/>
        <v/>
      </c>
      <c r="N20" s="9" t="str">
        <f t="shared" si="4"/>
        <v/>
      </c>
    </row>
    <row r="21" spans="1:14">
      <c r="A21" s="7">
        <v>15</v>
      </c>
      <c r="B21" s="8"/>
      <c r="C21" s="8"/>
      <c r="D21" s="8"/>
      <c r="E21" s="8"/>
      <c r="F21" s="8"/>
      <c r="G21" s="8"/>
      <c r="H21" s="8"/>
      <c r="I21" s="8"/>
      <c r="J21" s="8" t="str">
        <f t="shared" si="0"/>
        <v/>
      </c>
      <c r="K21" s="8" t="str">
        <f t="shared" si="1"/>
        <v/>
      </c>
      <c r="L21" s="8" t="str">
        <f t="shared" si="2"/>
        <v/>
      </c>
      <c r="M21" s="8" t="str">
        <f t="shared" si="3"/>
        <v/>
      </c>
      <c r="N21" s="9" t="str">
        <f t="shared" si="4"/>
        <v/>
      </c>
    </row>
    <row r="22" spans="1:14">
      <c r="A22" s="7">
        <v>16</v>
      </c>
      <c r="B22" s="8"/>
      <c r="C22" s="8"/>
      <c r="D22" s="8"/>
      <c r="E22" s="8"/>
      <c r="F22" s="8"/>
      <c r="G22" s="8"/>
      <c r="H22" s="8"/>
      <c r="I22" s="8"/>
      <c r="J22" s="8" t="str">
        <f t="shared" si="0"/>
        <v/>
      </c>
      <c r="K22" s="8" t="str">
        <f t="shared" si="1"/>
        <v/>
      </c>
      <c r="L22" s="8" t="str">
        <f t="shared" si="2"/>
        <v/>
      </c>
      <c r="M22" s="8" t="str">
        <f t="shared" si="3"/>
        <v/>
      </c>
      <c r="N22" s="9" t="str">
        <f t="shared" si="4"/>
        <v/>
      </c>
    </row>
    <row r="23" spans="1:14">
      <c r="A23" s="7">
        <v>17</v>
      </c>
      <c r="B23" s="8"/>
      <c r="C23" s="8"/>
      <c r="D23" s="8"/>
      <c r="E23" s="8"/>
      <c r="F23" s="8"/>
      <c r="G23" s="8"/>
      <c r="H23" s="8"/>
      <c r="I23" s="8"/>
      <c r="J23" s="8" t="str">
        <f t="shared" si="0"/>
        <v/>
      </c>
      <c r="K23" s="8" t="str">
        <f t="shared" si="1"/>
        <v/>
      </c>
      <c r="L23" s="8" t="str">
        <f t="shared" si="2"/>
        <v/>
      </c>
      <c r="M23" s="8" t="str">
        <f t="shared" si="3"/>
        <v/>
      </c>
      <c r="N23" s="9" t="str">
        <f t="shared" si="4"/>
        <v/>
      </c>
    </row>
    <row r="24" spans="1:14">
      <c r="A24" s="7">
        <v>18</v>
      </c>
      <c r="B24" s="8"/>
      <c r="C24" s="8"/>
      <c r="D24" s="8"/>
      <c r="E24" s="8"/>
      <c r="F24" s="8"/>
      <c r="G24" s="8"/>
      <c r="H24" s="8"/>
      <c r="I24" s="8"/>
      <c r="J24" s="8" t="str">
        <f t="shared" si="0"/>
        <v/>
      </c>
      <c r="K24" s="8" t="str">
        <f t="shared" si="1"/>
        <v/>
      </c>
      <c r="L24" s="8" t="str">
        <f t="shared" si="2"/>
        <v/>
      </c>
      <c r="M24" s="8" t="str">
        <f t="shared" si="3"/>
        <v/>
      </c>
      <c r="N24" s="9" t="str">
        <f t="shared" si="4"/>
        <v/>
      </c>
    </row>
    <row r="25" spans="1:14">
      <c r="A25" s="7">
        <v>19</v>
      </c>
      <c r="B25" s="8"/>
      <c r="C25" s="8"/>
      <c r="D25" s="8"/>
      <c r="E25" s="8"/>
      <c r="F25" s="8"/>
      <c r="G25" s="8"/>
      <c r="H25" s="8"/>
      <c r="I25" s="8"/>
      <c r="J25" s="8" t="str">
        <f t="shared" si="0"/>
        <v/>
      </c>
      <c r="K25" s="8" t="str">
        <f t="shared" si="1"/>
        <v/>
      </c>
      <c r="L25" s="8" t="str">
        <f t="shared" si="2"/>
        <v/>
      </c>
      <c r="M25" s="8" t="str">
        <f t="shared" si="3"/>
        <v/>
      </c>
      <c r="N25" s="9" t="str">
        <f t="shared" si="4"/>
        <v/>
      </c>
    </row>
    <row r="26" spans="1:14">
      <c r="A26" s="10">
        <v>20</v>
      </c>
      <c r="B26" s="11"/>
      <c r="C26" s="11"/>
      <c r="D26" s="11"/>
      <c r="E26" s="11"/>
      <c r="F26" s="11"/>
      <c r="G26" s="11"/>
      <c r="H26" s="11"/>
      <c r="I26" s="11"/>
      <c r="J26" s="11" t="str">
        <f t="shared" si="0"/>
        <v/>
      </c>
      <c r="K26" s="11" t="str">
        <f t="shared" si="1"/>
        <v/>
      </c>
      <c r="L26" s="11" t="str">
        <f t="shared" si="2"/>
        <v/>
      </c>
      <c r="M26" s="11" t="str">
        <f t="shared" si="3"/>
        <v/>
      </c>
      <c r="N26" s="12" t="str">
        <f t="shared" si="4"/>
        <v/>
      </c>
    </row>
    <row r="28" spans="1:14">
      <c r="A28" s="59" t="s">
        <v>392</v>
      </c>
      <c r="B28" s="60"/>
      <c r="C28" s="60"/>
      <c r="D28" s="60"/>
      <c r="E28" s="60"/>
      <c r="F28" s="61"/>
    </row>
    <row r="29" spans="1:14">
      <c r="A29" s="37" t="s">
        <v>393</v>
      </c>
      <c r="B29" s="38" t="str">
        <f>IFERROR(AVERAGE(J7:J26),"")</f>
        <v/>
      </c>
      <c r="D29" s="37" t="s">
        <v>394</v>
      </c>
      <c r="E29" s="38">
        <v>75</v>
      </c>
    </row>
    <row r="30" spans="1:14">
      <c r="A30" s="7" t="s">
        <v>395</v>
      </c>
      <c r="B30" s="9" t="str">
        <f>IFERROR(AVERAGE(K7:K26),"")</f>
        <v/>
      </c>
      <c r="D30" s="10" t="s">
        <v>396</v>
      </c>
      <c r="E30" s="39" t="str">
        <f>IFERROR(COUNTIF(N7:N26,"Tercapai")/COUNT(J7:J26),"")</f>
        <v/>
      </c>
    </row>
    <row r="31" spans="1:14">
      <c r="A31" s="7" t="s">
        <v>397</v>
      </c>
      <c r="B31" s="9" t="str">
        <f>IFERROR(AVERAGE(L7:L26),"")</f>
        <v/>
      </c>
    </row>
    <row r="32" spans="1:14">
      <c r="A32" s="10" t="s">
        <v>398</v>
      </c>
      <c r="B32" s="12" t="str">
        <f>IFERROR(AVERAGE(M7:M26),"")</f>
        <v/>
      </c>
    </row>
  </sheetData>
  <mergeCells count="3">
    <mergeCell ref="A1:N1"/>
    <mergeCell ref="A2:N2"/>
    <mergeCell ref="A28:F28"/>
  </mergeCells>
  <conditionalFormatting sqref="N7:N26">
    <cfRule type="expression" dxfId="9" priority="1">
      <formula>N7="Tercapai"</formula>
    </cfRule>
    <cfRule type="expression" dxfId="8" priority="2">
      <formula>N7="Belum Tercapai"</formula>
    </cfRule>
  </conditionalFormatting>
  <pageMargins left="0.25" right="0.25" top="0.75" bottom="0.75" header="0.3" footer="0.3"/>
  <pageSetup paperSize="9" scale="7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32"/>
  <sheetViews>
    <sheetView workbookViewId="0"/>
  </sheetViews>
  <sheetFormatPr defaultRowHeight="13.8"/>
  <cols>
    <col min="1" max="1" width="6" customWidth="1"/>
    <col min="2" max="2" width="14" customWidth="1"/>
    <col min="3" max="3" width="28" customWidth="1"/>
    <col min="4" max="7" width="10" customWidth="1"/>
    <col min="8" max="8" width="11" customWidth="1"/>
    <col min="9" max="9" width="10" customWidth="1"/>
    <col min="10" max="10" width="12" customWidth="1"/>
    <col min="11" max="13" width="10" customWidth="1"/>
    <col min="14" max="14" width="18" customWidth="1"/>
  </cols>
  <sheetData>
    <row r="1" spans="1:14" ht="22.35" customHeight="1">
      <c r="A1" s="54" t="s">
        <v>399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>
      <c r="A2" s="58" t="s">
        <v>400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41.4">
      <c r="A3" s="1" t="s">
        <v>381</v>
      </c>
      <c r="B3" s="2" t="s">
        <v>382</v>
      </c>
      <c r="C3" s="2" t="s">
        <v>383</v>
      </c>
      <c r="D3" s="2" t="s">
        <v>356</v>
      </c>
      <c r="E3" s="2" t="s">
        <v>343</v>
      </c>
      <c r="F3" s="2" t="s">
        <v>384</v>
      </c>
      <c r="G3" s="2" t="s">
        <v>385</v>
      </c>
      <c r="H3" s="2" t="s">
        <v>386</v>
      </c>
      <c r="I3" s="2" t="s">
        <v>306</v>
      </c>
      <c r="J3" s="2" t="s">
        <v>387</v>
      </c>
      <c r="K3" s="2" t="s">
        <v>291</v>
      </c>
      <c r="L3" s="2" t="s">
        <v>299</v>
      </c>
      <c r="M3" s="2" t="s">
        <v>307</v>
      </c>
      <c r="N3" s="3" t="s">
        <v>4</v>
      </c>
    </row>
    <row r="4" spans="1:14" ht="27.6">
      <c r="A4" s="1" t="s">
        <v>290</v>
      </c>
      <c r="B4" s="2">
        <v>100</v>
      </c>
      <c r="C4" s="2"/>
      <c r="D4" s="36">
        <v>0.15</v>
      </c>
      <c r="E4" s="36">
        <v>0.1</v>
      </c>
      <c r="F4" s="36">
        <v>0.2</v>
      </c>
      <c r="G4" s="36">
        <v>0.2</v>
      </c>
      <c r="H4" s="36">
        <v>0.1</v>
      </c>
      <c r="I4" s="36">
        <v>0.25</v>
      </c>
      <c r="J4" s="2" t="s">
        <v>388</v>
      </c>
      <c r="K4" s="2">
        <v>75</v>
      </c>
      <c r="L4" s="2">
        <v>75</v>
      </c>
      <c r="M4" s="2">
        <v>75</v>
      </c>
      <c r="N4" s="3"/>
    </row>
    <row r="6" spans="1:14">
      <c r="A6" s="4" t="s">
        <v>1</v>
      </c>
      <c r="B6" s="5" t="s">
        <v>389</v>
      </c>
      <c r="C6" s="5" t="s">
        <v>390</v>
      </c>
      <c r="D6" s="5" t="s">
        <v>356</v>
      </c>
      <c r="E6" s="5" t="s">
        <v>343</v>
      </c>
      <c r="F6" s="5" t="s">
        <v>384</v>
      </c>
      <c r="G6" s="5" t="s">
        <v>385</v>
      </c>
      <c r="H6" s="5" t="s">
        <v>386</v>
      </c>
      <c r="I6" s="5" t="s">
        <v>306</v>
      </c>
      <c r="J6" s="5" t="s">
        <v>387</v>
      </c>
      <c r="K6" s="5" t="s">
        <v>291</v>
      </c>
      <c r="L6" s="5" t="s">
        <v>299</v>
      </c>
      <c r="M6" s="5" t="s">
        <v>307</v>
      </c>
      <c r="N6" s="6" t="s">
        <v>391</v>
      </c>
    </row>
    <row r="7" spans="1:14">
      <c r="A7" s="7">
        <v>1</v>
      </c>
      <c r="B7" s="8"/>
      <c r="C7" s="8"/>
      <c r="D7" s="8"/>
      <c r="E7" s="8"/>
      <c r="F7" s="8"/>
      <c r="G7" s="8"/>
      <c r="H7" s="8"/>
      <c r="I7" s="8"/>
      <c r="J7" s="8" t="str">
        <f t="shared" ref="J7:J26" si="0">IF(COUNTA(D7:I7)=0,"",D7*$D$4+E7*$E$4+F7*$F$4+G7*$G$4+H7*$H$4+I7*$I$4)</f>
        <v/>
      </c>
      <c r="K7" s="8" t="str">
        <f t="shared" ref="K7:K26" si="1">IF(COUNTA(D7:F7)=0,"",(D7*$D$4+E7*$E$4+F7*$F$4)/SUM($D$4:$F$4))</f>
        <v/>
      </c>
      <c r="L7" s="8" t="str">
        <f t="shared" ref="L7:L26" si="2">IF(COUNTA(G7:H7)=0,"",(G7*$G$4+H7*$H$4)/SUM($G$4:$H$4))</f>
        <v/>
      </c>
      <c r="M7" s="8" t="str">
        <f t="shared" ref="M7:M26" si="3">IF(I7="","",I7)</f>
        <v/>
      </c>
      <c r="N7" s="9" t="str">
        <f t="shared" ref="N7:N26" si="4">IF(J7="","",IF(J7&gt;=75,"Tercapai","Belum Tercapai"))</f>
        <v/>
      </c>
    </row>
    <row r="8" spans="1:14">
      <c r="A8" s="7">
        <v>2</v>
      </c>
      <c r="B8" s="8"/>
      <c r="C8" s="8"/>
      <c r="D8" s="8"/>
      <c r="E8" s="8"/>
      <c r="F8" s="8"/>
      <c r="G8" s="8"/>
      <c r="H8" s="8"/>
      <c r="I8" s="8"/>
      <c r="J8" s="8" t="str">
        <f t="shared" si="0"/>
        <v/>
      </c>
      <c r="K8" s="8" t="str">
        <f t="shared" si="1"/>
        <v/>
      </c>
      <c r="L8" s="8" t="str">
        <f t="shared" si="2"/>
        <v/>
      </c>
      <c r="M8" s="8" t="str">
        <f t="shared" si="3"/>
        <v/>
      </c>
      <c r="N8" s="9" t="str">
        <f t="shared" si="4"/>
        <v/>
      </c>
    </row>
    <row r="9" spans="1:14">
      <c r="A9" s="7">
        <v>3</v>
      </c>
      <c r="B9" s="8"/>
      <c r="C9" s="8"/>
      <c r="D9" s="8"/>
      <c r="E9" s="8"/>
      <c r="F9" s="8"/>
      <c r="G9" s="8"/>
      <c r="H9" s="8"/>
      <c r="I9" s="8"/>
      <c r="J9" s="8" t="str">
        <f t="shared" si="0"/>
        <v/>
      </c>
      <c r="K9" s="8" t="str">
        <f t="shared" si="1"/>
        <v/>
      </c>
      <c r="L9" s="8" t="str">
        <f t="shared" si="2"/>
        <v/>
      </c>
      <c r="M9" s="8" t="str">
        <f t="shared" si="3"/>
        <v/>
      </c>
      <c r="N9" s="9" t="str">
        <f t="shared" si="4"/>
        <v/>
      </c>
    </row>
    <row r="10" spans="1:14">
      <c r="A10" s="7">
        <v>4</v>
      </c>
      <c r="B10" s="8"/>
      <c r="C10" s="8"/>
      <c r="D10" s="8"/>
      <c r="E10" s="8"/>
      <c r="F10" s="8"/>
      <c r="G10" s="8"/>
      <c r="H10" s="8"/>
      <c r="I10" s="8"/>
      <c r="J10" s="8" t="str">
        <f t="shared" si="0"/>
        <v/>
      </c>
      <c r="K10" s="8" t="str">
        <f t="shared" si="1"/>
        <v/>
      </c>
      <c r="L10" s="8" t="str">
        <f t="shared" si="2"/>
        <v/>
      </c>
      <c r="M10" s="8" t="str">
        <f t="shared" si="3"/>
        <v/>
      </c>
      <c r="N10" s="9" t="str">
        <f t="shared" si="4"/>
        <v/>
      </c>
    </row>
    <row r="11" spans="1:14">
      <c r="A11" s="7">
        <v>5</v>
      </c>
      <c r="B11" s="8"/>
      <c r="C11" s="8"/>
      <c r="D11" s="8"/>
      <c r="E11" s="8"/>
      <c r="F11" s="8"/>
      <c r="G11" s="8"/>
      <c r="H11" s="8"/>
      <c r="I11" s="8"/>
      <c r="J11" s="8" t="str">
        <f t="shared" si="0"/>
        <v/>
      </c>
      <c r="K11" s="8" t="str">
        <f t="shared" si="1"/>
        <v/>
      </c>
      <c r="L11" s="8" t="str">
        <f t="shared" si="2"/>
        <v/>
      </c>
      <c r="M11" s="8" t="str">
        <f t="shared" si="3"/>
        <v/>
      </c>
      <c r="N11" s="9" t="str">
        <f t="shared" si="4"/>
        <v/>
      </c>
    </row>
    <row r="12" spans="1:14">
      <c r="A12" s="7">
        <v>6</v>
      </c>
      <c r="B12" s="8"/>
      <c r="C12" s="8"/>
      <c r="D12" s="8"/>
      <c r="E12" s="8"/>
      <c r="F12" s="8"/>
      <c r="G12" s="8"/>
      <c r="H12" s="8"/>
      <c r="I12" s="8"/>
      <c r="J12" s="8" t="str">
        <f t="shared" si="0"/>
        <v/>
      </c>
      <c r="K12" s="8" t="str">
        <f t="shared" si="1"/>
        <v/>
      </c>
      <c r="L12" s="8" t="str">
        <f t="shared" si="2"/>
        <v/>
      </c>
      <c r="M12" s="8" t="str">
        <f t="shared" si="3"/>
        <v/>
      </c>
      <c r="N12" s="9" t="str">
        <f t="shared" si="4"/>
        <v/>
      </c>
    </row>
    <row r="13" spans="1:14">
      <c r="A13" s="7">
        <v>7</v>
      </c>
      <c r="B13" s="8"/>
      <c r="C13" s="8"/>
      <c r="D13" s="8"/>
      <c r="E13" s="8"/>
      <c r="F13" s="8"/>
      <c r="G13" s="8"/>
      <c r="H13" s="8"/>
      <c r="I13" s="8"/>
      <c r="J13" s="8" t="str">
        <f t="shared" si="0"/>
        <v/>
      </c>
      <c r="K13" s="8" t="str">
        <f t="shared" si="1"/>
        <v/>
      </c>
      <c r="L13" s="8" t="str">
        <f t="shared" si="2"/>
        <v/>
      </c>
      <c r="M13" s="8" t="str">
        <f t="shared" si="3"/>
        <v/>
      </c>
      <c r="N13" s="9" t="str">
        <f t="shared" si="4"/>
        <v/>
      </c>
    </row>
    <row r="14" spans="1:14">
      <c r="A14" s="7">
        <v>8</v>
      </c>
      <c r="B14" s="8"/>
      <c r="C14" s="8"/>
      <c r="D14" s="8"/>
      <c r="E14" s="8"/>
      <c r="F14" s="8"/>
      <c r="G14" s="8"/>
      <c r="H14" s="8"/>
      <c r="I14" s="8"/>
      <c r="J14" s="8" t="str">
        <f t="shared" si="0"/>
        <v/>
      </c>
      <c r="K14" s="8" t="str">
        <f t="shared" si="1"/>
        <v/>
      </c>
      <c r="L14" s="8" t="str">
        <f t="shared" si="2"/>
        <v/>
      </c>
      <c r="M14" s="8" t="str">
        <f t="shared" si="3"/>
        <v/>
      </c>
      <c r="N14" s="9" t="str">
        <f t="shared" si="4"/>
        <v/>
      </c>
    </row>
    <row r="15" spans="1:14">
      <c r="A15" s="7">
        <v>9</v>
      </c>
      <c r="B15" s="8"/>
      <c r="C15" s="8"/>
      <c r="D15" s="8"/>
      <c r="E15" s="8"/>
      <c r="F15" s="8"/>
      <c r="G15" s="8"/>
      <c r="H15" s="8"/>
      <c r="I15" s="8"/>
      <c r="J15" s="8" t="str">
        <f t="shared" si="0"/>
        <v/>
      </c>
      <c r="K15" s="8" t="str">
        <f t="shared" si="1"/>
        <v/>
      </c>
      <c r="L15" s="8" t="str">
        <f t="shared" si="2"/>
        <v/>
      </c>
      <c r="M15" s="8" t="str">
        <f t="shared" si="3"/>
        <v/>
      </c>
      <c r="N15" s="9" t="str">
        <f t="shared" si="4"/>
        <v/>
      </c>
    </row>
    <row r="16" spans="1:14">
      <c r="A16" s="7">
        <v>10</v>
      </c>
      <c r="B16" s="8"/>
      <c r="C16" s="8"/>
      <c r="D16" s="8"/>
      <c r="E16" s="8"/>
      <c r="F16" s="8"/>
      <c r="G16" s="8"/>
      <c r="H16" s="8"/>
      <c r="I16" s="8"/>
      <c r="J16" s="8" t="str">
        <f t="shared" si="0"/>
        <v/>
      </c>
      <c r="K16" s="8" t="str">
        <f t="shared" si="1"/>
        <v/>
      </c>
      <c r="L16" s="8" t="str">
        <f t="shared" si="2"/>
        <v/>
      </c>
      <c r="M16" s="8" t="str">
        <f t="shared" si="3"/>
        <v/>
      </c>
      <c r="N16" s="9" t="str">
        <f t="shared" si="4"/>
        <v/>
      </c>
    </row>
    <row r="17" spans="1:14">
      <c r="A17" s="7">
        <v>11</v>
      </c>
      <c r="B17" s="8"/>
      <c r="C17" s="8"/>
      <c r="D17" s="8"/>
      <c r="E17" s="8"/>
      <c r="F17" s="8"/>
      <c r="G17" s="8"/>
      <c r="H17" s="8"/>
      <c r="I17" s="8"/>
      <c r="J17" s="8" t="str">
        <f t="shared" si="0"/>
        <v/>
      </c>
      <c r="K17" s="8" t="str">
        <f t="shared" si="1"/>
        <v/>
      </c>
      <c r="L17" s="8" t="str">
        <f t="shared" si="2"/>
        <v/>
      </c>
      <c r="M17" s="8" t="str">
        <f t="shared" si="3"/>
        <v/>
      </c>
      <c r="N17" s="9" t="str">
        <f t="shared" si="4"/>
        <v/>
      </c>
    </row>
    <row r="18" spans="1:14">
      <c r="A18" s="7">
        <v>12</v>
      </c>
      <c r="B18" s="8"/>
      <c r="C18" s="8"/>
      <c r="D18" s="8"/>
      <c r="E18" s="8"/>
      <c r="F18" s="8"/>
      <c r="G18" s="8"/>
      <c r="H18" s="8"/>
      <c r="I18" s="8"/>
      <c r="J18" s="8" t="str">
        <f t="shared" si="0"/>
        <v/>
      </c>
      <c r="K18" s="8" t="str">
        <f t="shared" si="1"/>
        <v/>
      </c>
      <c r="L18" s="8" t="str">
        <f t="shared" si="2"/>
        <v/>
      </c>
      <c r="M18" s="8" t="str">
        <f t="shared" si="3"/>
        <v/>
      </c>
      <c r="N18" s="9" t="str">
        <f t="shared" si="4"/>
        <v/>
      </c>
    </row>
    <row r="19" spans="1:14">
      <c r="A19" s="7">
        <v>13</v>
      </c>
      <c r="B19" s="8"/>
      <c r="C19" s="8"/>
      <c r="D19" s="8"/>
      <c r="E19" s="8"/>
      <c r="F19" s="8"/>
      <c r="G19" s="8"/>
      <c r="H19" s="8"/>
      <c r="I19" s="8"/>
      <c r="J19" s="8" t="str">
        <f t="shared" si="0"/>
        <v/>
      </c>
      <c r="K19" s="8" t="str">
        <f t="shared" si="1"/>
        <v/>
      </c>
      <c r="L19" s="8" t="str">
        <f t="shared" si="2"/>
        <v/>
      </c>
      <c r="M19" s="8" t="str">
        <f t="shared" si="3"/>
        <v/>
      </c>
      <c r="N19" s="9" t="str">
        <f t="shared" si="4"/>
        <v/>
      </c>
    </row>
    <row r="20" spans="1:14">
      <c r="A20" s="7">
        <v>14</v>
      </c>
      <c r="B20" s="8"/>
      <c r="C20" s="8"/>
      <c r="D20" s="8"/>
      <c r="E20" s="8"/>
      <c r="F20" s="8"/>
      <c r="G20" s="8"/>
      <c r="H20" s="8"/>
      <c r="I20" s="8"/>
      <c r="J20" s="8" t="str">
        <f t="shared" si="0"/>
        <v/>
      </c>
      <c r="K20" s="8" t="str">
        <f t="shared" si="1"/>
        <v/>
      </c>
      <c r="L20" s="8" t="str">
        <f t="shared" si="2"/>
        <v/>
      </c>
      <c r="M20" s="8" t="str">
        <f t="shared" si="3"/>
        <v/>
      </c>
      <c r="N20" s="9" t="str">
        <f t="shared" si="4"/>
        <v/>
      </c>
    </row>
    <row r="21" spans="1:14">
      <c r="A21" s="7">
        <v>15</v>
      </c>
      <c r="B21" s="8"/>
      <c r="C21" s="8"/>
      <c r="D21" s="8"/>
      <c r="E21" s="8"/>
      <c r="F21" s="8"/>
      <c r="G21" s="8"/>
      <c r="H21" s="8"/>
      <c r="I21" s="8"/>
      <c r="J21" s="8" t="str">
        <f t="shared" si="0"/>
        <v/>
      </c>
      <c r="K21" s="8" t="str">
        <f t="shared" si="1"/>
        <v/>
      </c>
      <c r="L21" s="8" t="str">
        <f t="shared" si="2"/>
        <v/>
      </c>
      <c r="M21" s="8" t="str">
        <f t="shared" si="3"/>
        <v/>
      </c>
      <c r="N21" s="9" t="str">
        <f t="shared" si="4"/>
        <v/>
      </c>
    </row>
    <row r="22" spans="1:14">
      <c r="A22" s="7">
        <v>16</v>
      </c>
      <c r="B22" s="8"/>
      <c r="C22" s="8"/>
      <c r="D22" s="8"/>
      <c r="E22" s="8"/>
      <c r="F22" s="8"/>
      <c r="G22" s="8"/>
      <c r="H22" s="8"/>
      <c r="I22" s="8"/>
      <c r="J22" s="8" t="str">
        <f t="shared" si="0"/>
        <v/>
      </c>
      <c r="K22" s="8" t="str">
        <f t="shared" si="1"/>
        <v/>
      </c>
      <c r="L22" s="8" t="str">
        <f t="shared" si="2"/>
        <v/>
      </c>
      <c r="M22" s="8" t="str">
        <f t="shared" si="3"/>
        <v/>
      </c>
      <c r="N22" s="9" t="str">
        <f t="shared" si="4"/>
        <v/>
      </c>
    </row>
    <row r="23" spans="1:14">
      <c r="A23" s="7">
        <v>17</v>
      </c>
      <c r="B23" s="8"/>
      <c r="C23" s="8"/>
      <c r="D23" s="8"/>
      <c r="E23" s="8"/>
      <c r="F23" s="8"/>
      <c r="G23" s="8"/>
      <c r="H23" s="8"/>
      <c r="I23" s="8"/>
      <c r="J23" s="8" t="str">
        <f t="shared" si="0"/>
        <v/>
      </c>
      <c r="K23" s="8" t="str">
        <f t="shared" si="1"/>
        <v/>
      </c>
      <c r="L23" s="8" t="str">
        <f t="shared" si="2"/>
        <v/>
      </c>
      <c r="M23" s="8" t="str">
        <f t="shared" si="3"/>
        <v/>
      </c>
      <c r="N23" s="9" t="str">
        <f t="shared" si="4"/>
        <v/>
      </c>
    </row>
    <row r="24" spans="1:14">
      <c r="A24" s="7">
        <v>18</v>
      </c>
      <c r="B24" s="8"/>
      <c r="C24" s="8"/>
      <c r="D24" s="8"/>
      <c r="E24" s="8"/>
      <c r="F24" s="8"/>
      <c r="G24" s="8"/>
      <c r="H24" s="8"/>
      <c r="I24" s="8"/>
      <c r="J24" s="8" t="str">
        <f t="shared" si="0"/>
        <v/>
      </c>
      <c r="K24" s="8" t="str">
        <f t="shared" si="1"/>
        <v/>
      </c>
      <c r="L24" s="8" t="str">
        <f t="shared" si="2"/>
        <v/>
      </c>
      <c r="M24" s="8" t="str">
        <f t="shared" si="3"/>
        <v/>
      </c>
      <c r="N24" s="9" t="str">
        <f t="shared" si="4"/>
        <v/>
      </c>
    </row>
    <row r="25" spans="1:14">
      <c r="A25" s="7">
        <v>19</v>
      </c>
      <c r="B25" s="8"/>
      <c r="C25" s="8"/>
      <c r="D25" s="8"/>
      <c r="E25" s="8"/>
      <c r="F25" s="8"/>
      <c r="G25" s="8"/>
      <c r="H25" s="8"/>
      <c r="I25" s="8"/>
      <c r="J25" s="8" t="str">
        <f t="shared" si="0"/>
        <v/>
      </c>
      <c r="K25" s="8" t="str">
        <f t="shared" si="1"/>
        <v/>
      </c>
      <c r="L25" s="8" t="str">
        <f t="shared" si="2"/>
        <v/>
      </c>
      <c r="M25" s="8" t="str">
        <f t="shared" si="3"/>
        <v/>
      </c>
      <c r="N25" s="9" t="str">
        <f t="shared" si="4"/>
        <v/>
      </c>
    </row>
    <row r="26" spans="1:14">
      <c r="A26" s="10">
        <v>20</v>
      </c>
      <c r="B26" s="11"/>
      <c r="C26" s="11"/>
      <c r="D26" s="11"/>
      <c r="E26" s="11"/>
      <c r="F26" s="11"/>
      <c r="G26" s="11"/>
      <c r="H26" s="11"/>
      <c r="I26" s="11"/>
      <c r="J26" s="11" t="str">
        <f t="shared" si="0"/>
        <v/>
      </c>
      <c r="K26" s="11" t="str">
        <f t="shared" si="1"/>
        <v/>
      </c>
      <c r="L26" s="11" t="str">
        <f t="shared" si="2"/>
        <v/>
      </c>
      <c r="M26" s="11" t="str">
        <f t="shared" si="3"/>
        <v/>
      </c>
      <c r="N26" s="12" t="str">
        <f t="shared" si="4"/>
        <v/>
      </c>
    </row>
    <row r="28" spans="1:14">
      <c r="A28" s="59" t="s">
        <v>392</v>
      </c>
      <c r="B28" s="60"/>
      <c r="C28" s="60"/>
      <c r="D28" s="60"/>
      <c r="E28" s="60"/>
      <c r="F28" s="61"/>
    </row>
    <row r="29" spans="1:14">
      <c r="A29" s="37" t="s">
        <v>393</v>
      </c>
      <c r="B29" s="38" t="str">
        <f>IFERROR(AVERAGE(J7:J26),"")</f>
        <v/>
      </c>
      <c r="D29" s="37" t="s">
        <v>394</v>
      </c>
      <c r="E29" s="38">
        <v>75</v>
      </c>
    </row>
    <row r="30" spans="1:14">
      <c r="A30" s="7" t="s">
        <v>395</v>
      </c>
      <c r="B30" s="9" t="str">
        <f>IFERROR(AVERAGE(K7:K26),"")</f>
        <v/>
      </c>
      <c r="D30" s="10" t="s">
        <v>396</v>
      </c>
      <c r="E30" s="39" t="str">
        <f>IFERROR(COUNTIF(N7:N26,"Tercapai")/COUNT(J7:J26),"")</f>
        <v/>
      </c>
    </row>
    <row r="31" spans="1:14">
      <c r="A31" s="7" t="s">
        <v>397</v>
      </c>
      <c r="B31" s="9" t="str">
        <f>IFERROR(AVERAGE(L7:L26),"")</f>
        <v/>
      </c>
    </row>
    <row r="32" spans="1:14">
      <c r="A32" s="10" t="s">
        <v>398</v>
      </c>
      <c r="B32" s="12" t="str">
        <f>IFERROR(AVERAGE(M7:M26),"")</f>
        <v/>
      </c>
    </row>
  </sheetData>
  <mergeCells count="3">
    <mergeCell ref="A1:N1"/>
    <mergeCell ref="A2:N2"/>
    <mergeCell ref="A28:F28"/>
  </mergeCells>
  <conditionalFormatting sqref="N7:N26">
    <cfRule type="expression" dxfId="7" priority="1">
      <formula>N7="Tercapai"</formula>
    </cfRule>
    <cfRule type="expression" dxfId="6" priority="2">
      <formula>N7="Belum Tercapai"</formula>
    </cfRule>
  </conditionalFormatting>
  <pageMargins left="0.25" right="0.25" top="0.75" bottom="0.75" header="0.3" footer="0.3"/>
  <pageSetup paperSize="9" scale="77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N32"/>
  <sheetViews>
    <sheetView workbookViewId="0"/>
  </sheetViews>
  <sheetFormatPr defaultRowHeight="13.8"/>
  <cols>
    <col min="1" max="1" width="6" customWidth="1"/>
    <col min="2" max="2" width="14" customWidth="1"/>
    <col min="3" max="3" width="28" customWidth="1"/>
    <col min="4" max="7" width="10" customWidth="1"/>
    <col min="8" max="8" width="11" customWidth="1"/>
    <col min="9" max="9" width="10" customWidth="1"/>
    <col min="10" max="10" width="12" customWidth="1"/>
    <col min="11" max="13" width="10" customWidth="1"/>
    <col min="14" max="14" width="18" customWidth="1"/>
  </cols>
  <sheetData>
    <row r="1" spans="1:14" ht="22.35" customHeight="1">
      <c r="A1" s="54" t="s">
        <v>401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>
      <c r="A2" s="58" t="s">
        <v>402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41.4">
      <c r="A3" s="1" t="s">
        <v>381</v>
      </c>
      <c r="B3" s="2" t="s">
        <v>382</v>
      </c>
      <c r="C3" s="2" t="s">
        <v>383</v>
      </c>
      <c r="D3" s="2" t="s">
        <v>356</v>
      </c>
      <c r="E3" s="2" t="s">
        <v>343</v>
      </c>
      <c r="F3" s="2" t="s">
        <v>384</v>
      </c>
      <c r="G3" s="2" t="s">
        <v>385</v>
      </c>
      <c r="H3" s="2" t="s">
        <v>386</v>
      </c>
      <c r="I3" s="2" t="s">
        <v>306</v>
      </c>
      <c r="J3" s="2" t="s">
        <v>387</v>
      </c>
      <c r="K3" s="2" t="s">
        <v>291</v>
      </c>
      <c r="L3" s="2" t="s">
        <v>299</v>
      </c>
      <c r="M3" s="2" t="s">
        <v>307</v>
      </c>
      <c r="N3" s="3" t="s">
        <v>4</v>
      </c>
    </row>
    <row r="4" spans="1:14" ht="27.6">
      <c r="A4" s="1" t="s">
        <v>290</v>
      </c>
      <c r="B4" s="2">
        <v>100</v>
      </c>
      <c r="C4" s="2"/>
      <c r="D4" s="36">
        <v>0.15</v>
      </c>
      <c r="E4" s="36">
        <v>0.1</v>
      </c>
      <c r="F4" s="36">
        <v>0.2</v>
      </c>
      <c r="G4" s="36">
        <v>0.2</v>
      </c>
      <c r="H4" s="36">
        <v>0.1</v>
      </c>
      <c r="I4" s="36">
        <v>0.25</v>
      </c>
      <c r="J4" s="2" t="s">
        <v>388</v>
      </c>
      <c r="K4" s="2">
        <v>75</v>
      </c>
      <c r="L4" s="2">
        <v>75</v>
      </c>
      <c r="M4" s="2">
        <v>75</v>
      </c>
      <c r="N4" s="3"/>
    </row>
    <row r="6" spans="1:14">
      <c r="A6" s="4" t="s">
        <v>1</v>
      </c>
      <c r="B6" s="5" t="s">
        <v>389</v>
      </c>
      <c r="C6" s="5" t="s">
        <v>390</v>
      </c>
      <c r="D6" s="5" t="s">
        <v>356</v>
      </c>
      <c r="E6" s="5" t="s">
        <v>343</v>
      </c>
      <c r="F6" s="5" t="s">
        <v>384</v>
      </c>
      <c r="G6" s="5" t="s">
        <v>385</v>
      </c>
      <c r="H6" s="5" t="s">
        <v>386</v>
      </c>
      <c r="I6" s="5" t="s">
        <v>306</v>
      </c>
      <c r="J6" s="5" t="s">
        <v>387</v>
      </c>
      <c r="K6" s="5" t="s">
        <v>291</v>
      </c>
      <c r="L6" s="5" t="s">
        <v>299</v>
      </c>
      <c r="M6" s="5" t="s">
        <v>307</v>
      </c>
      <c r="N6" s="6" t="s">
        <v>391</v>
      </c>
    </row>
    <row r="7" spans="1:14">
      <c r="A7" s="7">
        <v>1</v>
      </c>
      <c r="B7" s="8"/>
      <c r="C7" s="8"/>
      <c r="D7" s="8"/>
      <c r="E7" s="8"/>
      <c r="F7" s="8"/>
      <c r="G7" s="8"/>
      <c r="H7" s="8"/>
      <c r="I7" s="8"/>
      <c r="J7" s="8" t="str">
        <f t="shared" ref="J7:J26" si="0">IF(COUNTA(D7:I7)=0,"",D7*$D$4+E7*$E$4+F7*$F$4+G7*$G$4+H7*$H$4+I7*$I$4)</f>
        <v/>
      </c>
      <c r="K7" s="8" t="str">
        <f t="shared" ref="K7:K26" si="1">IF(COUNTA(D7:F7)=0,"",(D7*$D$4+E7*$E$4+F7*$F$4)/SUM($D$4:$F$4))</f>
        <v/>
      </c>
      <c r="L7" s="8" t="str">
        <f t="shared" ref="L7:L26" si="2">IF(COUNTA(G7:H7)=0,"",(G7*$G$4+H7*$H$4)/SUM($G$4:$H$4))</f>
        <v/>
      </c>
      <c r="M7" s="8" t="str">
        <f t="shared" ref="M7:M26" si="3">IF(I7="","",I7)</f>
        <v/>
      </c>
      <c r="N7" s="9" t="str">
        <f t="shared" ref="N7:N26" si="4">IF(J7="","",IF(J7&gt;=75,"Tercapai","Belum Tercapai"))</f>
        <v/>
      </c>
    </row>
    <row r="8" spans="1:14">
      <c r="A8" s="7">
        <v>2</v>
      </c>
      <c r="B8" s="8"/>
      <c r="C8" s="8"/>
      <c r="D8" s="8"/>
      <c r="E8" s="8"/>
      <c r="F8" s="8"/>
      <c r="G8" s="8"/>
      <c r="H8" s="8"/>
      <c r="I8" s="8"/>
      <c r="J8" s="8" t="str">
        <f t="shared" si="0"/>
        <v/>
      </c>
      <c r="K8" s="8" t="str">
        <f t="shared" si="1"/>
        <v/>
      </c>
      <c r="L8" s="8" t="str">
        <f t="shared" si="2"/>
        <v/>
      </c>
      <c r="M8" s="8" t="str">
        <f t="shared" si="3"/>
        <v/>
      </c>
      <c r="N8" s="9" t="str">
        <f t="shared" si="4"/>
        <v/>
      </c>
    </row>
    <row r="9" spans="1:14">
      <c r="A9" s="7">
        <v>3</v>
      </c>
      <c r="B9" s="8"/>
      <c r="C9" s="8"/>
      <c r="D9" s="8"/>
      <c r="E9" s="8"/>
      <c r="F9" s="8"/>
      <c r="G9" s="8"/>
      <c r="H9" s="8"/>
      <c r="I9" s="8"/>
      <c r="J9" s="8" t="str">
        <f t="shared" si="0"/>
        <v/>
      </c>
      <c r="K9" s="8" t="str">
        <f t="shared" si="1"/>
        <v/>
      </c>
      <c r="L9" s="8" t="str">
        <f t="shared" si="2"/>
        <v/>
      </c>
      <c r="M9" s="8" t="str">
        <f t="shared" si="3"/>
        <v/>
      </c>
      <c r="N9" s="9" t="str">
        <f t="shared" si="4"/>
        <v/>
      </c>
    </row>
    <row r="10" spans="1:14">
      <c r="A10" s="7">
        <v>4</v>
      </c>
      <c r="B10" s="8"/>
      <c r="C10" s="8"/>
      <c r="D10" s="8"/>
      <c r="E10" s="8"/>
      <c r="F10" s="8"/>
      <c r="G10" s="8"/>
      <c r="H10" s="8"/>
      <c r="I10" s="8"/>
      <c r="J10" s="8" t="str">
        <f t="shared" si="0"/>
        <v/>
      </c>
      <c r="K10" s="8" t="str">
        <f t="shared" si="1"/>
        <v/>
      </c>
      <c r="L10" s="8" t="str">
        <f t="shared" si="2"/>
        <v/>
      </c>
      <c r="M10" s="8" t="str">
        <f t="shared" si="3"/>
        <v/>
      </c>
      <c r="N10" s="9" t="str">
        <f t="shared" si="4"/>
        <v/>
      </c>
    </row>
    <row r="11" spans="1:14">
      <c r="A11" s="7">
        <v>5</v>
      </c>
      <c r="B11" s="8"/>
      <c r="C11" s="8"/>
      <c r="D11" s="8"/>
      <c r="E11" s="8"/>
      <c r="F11" s="8"/>
      <c r="G11" s="8"/>
      <c r="H11" s="8"/>
      <c r="I11" s="8"/>
      <c r="J11" s="8" t="str">
        <f t="shared" si="0"/>
        <v/>
      </c>
      <c r="K11" s="8" t="str">
        <f t="shared" si="1"/>
        <v/>
      </c>
      <c r="L11" s="8" t="str">
        <f t="shared" si="2"/>
        <v/>
      </c>
      <c r="M11" s="8" t="str">
        <f t="shared" si="3"/>
        <v/>
      </c>
      <c r="N11" s="9" t="str">
        <f t="shared" si="4"/>
        <v/>
      </c>
    </row>
    <row r="12" spans="1:14">
      <c r="A12" s="7">
        <v>6</v>
      </c>
      <c r="B12" s="8"/>
      <c r="C12" s="8"/>
      <c r="D12" s="8"/>
      <c r="E12" s="8"/>
      <c r="F12" s="8"/>
      <c r="G12" s="8"/>
      <c r="H12" s="8"/>
      <c r="I12" s="8"/>
      <c r="J12" s="8" t="str">
        <f t="shared" si="0"/>
        <v/>
      </c>
      <c r="K12" s="8" t="str">
        <f t="shared" si="1"/>
        <v/>
      </c>
      <c r="L12" s="8" t="str">
        <f t="shared" si="2"/>
        <v/>
      </c>
      <c r="M12" s="8" t="str">
        <f t="shared" si="3"/>
        <v/>
      </c>
      <c r="N12" s="9" t="str">
        <f t="shared" si="4"/>
        <v/>
      </c>
    </row>
    <row r="13" spans="1:14">
      <c r="A13" s="7">
        <v>7</v>
      </c>
      <c r="B13" s="8"/>
      <c r="C13" s="8"/>
      <c r="D13" s="8"/>
      <c r="E13" s="8"/>
      <c r="F13" s="8"/>
      <c r="G13" s="8"/>
      <c r="H13" s="8"/>
      <c r="I13" s="8"/>
      <c r="J13" s="8" t="str">
        <f t="shared" si="0"/>
        <v/>
      </c>
      <c r="K13" s="8" t="str">
        <f t="shared" si="1"/>
        <v/>
      </c>
      <c r="L13" s="8" t="str">
        <f t="shared" si="2"/>
        <v/>
      </c>
      <c r="M13" s="8" t="str">
        <f t="shared" si="3"/>
        <v/>
      </c>
      <c r="N13" s="9" t="str">
        <f t="shared" si="4"/>
        <v/>
      </c>
    </row>
    <row r="14" spans="1:14">
      <c r="A14" s="7">
        <v>8</v>
      </c>
      <c r="B14" s="8"/>
      <c r="C14" s="8"/>
      <c r="D14" s="8"/>
      <c r="E14" s="8"/>
      <c r="F14" s="8"/>
      <c r="G14" s="8"/>
      <c r="H14" s="8"/>
      <c r="I14" s="8"/>
      <c r="J14" s="8" t="str">
        <f t="shared" si="0"/>
        <v/>
      </c>
      <c r="K14" s="8" t="str">
        <f t="shared" si="1"/>
        <v/>
      </c>
      <c r="L14" s="8" t="str">
        <f t="shared" si="2"/>
        <v/>
      </c>
      <c r="M14" s="8" t="str">
        <f t="shared" si="3"/>
        <v/>
      </c>
      <c r="N14" s="9" t="str">
        <f t="shared" si="4"/>
        <v/>
      </c>
    </row>
    <row r="15" spans="1:14">
      <c r="A15" s="7">
        <v>9</v>
      </c>
      <c r="B15" s="8"/>
      <c r="C15" s="8"/>
      <c r="D15" s="8"/>
      <c r="E15" s="8"/>
      <c r="F15" s="8"/>
      <c r="G15" s="8"/>
      <c r="H15" s="8"/>
      <c r="I15" s="8"/>
      <c r="J15" s="8" t="str">
        <f t="shared" si="0"/>
        <v/>
      </c>
      <c r="K15" s="8" t="str">
        <f t="shared" si="1"/>
        <v/>
      </c>
      <c r="L15" s="8" t="str">
        <f t="shared" si="2"/>
        <v/>
      </c>
      <c r="M15" s="8" t="str">
        <f t="shared" si="3"/>
        <v/>
      </c>
      <c r="N15" s="9" t="str">
        <f t="shared" si="4"/>
        <v/>
      </c>
    </row>
    <row r="16" spans="1:14">
      <c r="A16" s="7">
        <v>10</v>
      </c>
      <c r="B16" s="8"/>
      <c r="C16" s="8"/>
      <c r="D16" s="8"/>
      <c r="E16" s="8"/>
      <c r="F16" s="8"/>
      <c r="G16" s="8"/>
      <c r="H16" s="8"/>
      <c r="I16" s="8"/>
      <c r="J16" s="8" t="str">
        <f t="shared" si="0"/>
        <v/>
      </c>
      <c r="K16" s="8" t="str">
        <f t="shared" si="1"/>
        <v/>
      </c>
      <c r="L16" s="8" t="str">
        <f t="shared" si="2"/>
        <v/>
      </c>
      <c r="M16" s="8" t="str">
        <f t="shared" si="3"/>
        <v/>
      </c>
      <c r="N16" s="9" t="str">
        <f t="shared" si="4"/>
        <v/>
      </c>
    </row>
    <row r="17" spans="1:14">
      <c r="A17" s="7">
        <v>11</v>
      </c>
      <c r="B17" s="8"/>
      <c r="C17" s="8"/>
      <c r="D17" s="8"/>
      <c r="E17" s="8"/>
      <c r="F17" s="8"/>
      <c r="G17" s="8"/>
      <c r="H17" s="8"/>
      <c r="I17" s="8"/>
      <c r="J17" s="8" t="str">
        <f t="shared" si="0"/>
        <v/>
      </c>
      <c r="K17" s="8" t="str">
        <f t="shared" si="1"/>
        <v/>
      </c>
      <c r="L17" s="8" t="str">
        <f t="shared" si="2"/>
        <v/>
      </c>
      <c r="M17" s="8" t="str">
        <f t="shared" si="3"/>
        <v/>
      </c>
      <c r="N17" s="9" t="str">
        <f t="shared" si="4"/>
        <v/>
      </c>
    </row>
    <row r="18" spans="1:14">
      <c r="A18" s="7">
        <v>12</v>
      </c>
      <c r="B18" s="8"/>
      <c r="C18" s="8"/>
      <c r="D18" s="8"/>
      <c r="E18" s="8"/>
      <c r="F18" s="8"/>
      <c r="G18" s="8"/>
      <c r="H18" s="8"/>
      <c r="I18" s="8"/>
      <c r="J18" s="8" t="str">
        <f t="shared" si="0"/>
        <v/>
      </c>
      <c r="K18" s="8" t="str">
        <f t="shared" si="1"/>
        <v/>
      </c>
      <c r="L18" s="8" t="str">
        <f t="shared" si="2"/>
        <v/>
      </c>
      <c r="M18" s="8" t="str">
        <f t="shared" si="3"/>
        <v/>
      </c>
      <c r="N18" s="9" t="str">
        <f t="shared" si="4"/>
        <v/>
      </c>
    </row>
    <row r="19" spans="1:14">
      <c r="A19" s="7">
        <v>13</v>
      </c>
      <c r="B19" s="8"/>
      <c r="C19" s="8"/>
      <c r="D19" s="8"/>
      <c r="E19" s="8"/>
      <c r="F19" s="8"/>
      <c r="G19" s="8"/>
      <c r="H19" s="8"/>
      <c r="I19" s="8"/>
      <c r="J19" s="8" t="str">
        <f t="shared" si="0"/>
        <v/>
      </c>
      <c r="K19" s="8" t="str">
        <f t="shared" si="1"/>
        <v/>
      </c>
      <c r="L19" s="8" t="str">
        <f t="shared" si="2"/>
        <v/>
      </c>
      <c r="M19" s="8" t="str">
        <f t="shared" si="3"/>
        <v/>
      </c>
      <c r="N19" s="9" t="str">
        <f t="shared" si="4"/>
        <v/>
      </c>
    </row>
    <row r="20" spans="1:14">
      <c r="A20" s="7">
        <v>14</v>
      </c>
      <c r="B20" s="8"/>
      <c r="C20" s="8"/>
      <c r="D20" s="8"/>
      <c r="E20" s="8"/>
      <c r="F20" s="8"/>
      <c r="G20" s="8"/>
      <c r="H20" s="8"/>
      <c r="I20" s="8"/>
      <c r="J20" s="8" t="str">
        <f t="shared" si="0"/>
        <v/>
      </c>
      <c r="K20" s="8" t="str">
        <f t="shared" si="1"/>
        <v/>
      </c>
      <c r="L20" s="8" t="str">
        <f t="shared" si="2"/>
        <v/>
      </c>
      <c r="M20" s="8" t="str">
        <f t="shared" si="3"/>
        <v/>
      </c>
      <c r="N20" s="9" t="str">
        <f t="shared" si="4"/>
        <v/>
      </c>
    </row>
    <row r="21" spans="1:14">
      <c r="A21" s="7">
        <v>15</v>
      </c>
      <c r="B21" s="8"/>
      <c r="C21" s="8"/>
      <c r="D21" s="8"/>
      <c r="E21" s="8"/>
      <c r="F21" s="8"/>
      <c r="G21" s="8"/>
      <c r="H21" s="8"/>
      <c r="I21" s="8"/>
      <c r="J21" s="8" t="str">
        <f t="shared" si="0"/>
        <v/>
      </c>
      <c r="K21" s="8" t="str">
        <f t="shared" si="1"/>
        <v/>
      </c>
      <c r="L21" s="8" t="str">
        <f t="shared" si="2"/>
        <v/>
      </c>
      <c r="M21" s="8" t="str">
        <f t="shared" si="3"/>
        <v/>
      </c>
      <c r="N21" s="9" t="str">
        <f t="shared" si="4"/>
        <v/>
      </c>
    </row>
    <row r="22" spans="1:14">
      <c r="A22" s="7">
        <v>16</v>
      </c>
      <c r="B22" s="8"/>
      <c r="C22" s="8"/>
      <c r="D22" s="8"/>
      <c r="E22" s="8"/>
      <c r="F22" s="8"/>
      <c r="G22" s="8"/>
      <c r="H22" s="8"/>
      <c r="I22" s="8"/>
      <c r="J22" s="8" t="str">
        <f t="shared" si="0"/>
        <v/>
      </c>
      <c r="K22" s="8" t="str">
        <f t="shared" si="1"/>
        <v/>
      </c>
      <c r="L22" s="8" t="str">
        <f t="shared" si="2"/>
        <v/>
      </c>
      <c r="M22" s="8" t="str">
        <f t="shared" si="3"/>
        <v/>
      </c>
      <c r="N22" s="9" t="str">
        <f t="shared" si="4"/>
        <v/>
      </c>
    </row>
    <row r="23" spans="1:14">
      <c r="A23" s="7">
        <v>17</v>
      </c>
      <c r="B23" s="8"/>
      <c r="C23" s="8"/>
      <c r="D23" s="8"/>
      <c r="E23" s="8"/>
      <c r="F23" s="8"/>
      <c r="G23" s="8"/>
      <c r="H23" s="8"/>
      <c r="I23" s="8"/>
      <c r="J23" s="8" t="str">
        <f t="shared" si="0"/>
        <v/>
      </c>
      <c r="K23" s="8" t="str">
        <f t="shared" si="1"/>
        <v/>
      </c>
      <c r="L23" s="8" t="str">
        <f t="shared" si="2"/>
        <v/>
      </c>
      <c r="M23" s="8" t="str">
        <f t="shared" si="3"/>
        <v/>
      </c>
      <c r="N23" s="9" t="str">
        <f t="shared" si="4"/>
        <v/>
      </c>
    </row>
    <row r="24" spans="1:14">
      <c r="A24" s="7">
        <v>18</v>
      </c>
      <c r="B24" s="8"/>
      <c r="C24" s="8"/>
      <c r="D24" s="8"/>
      <c r="E24" s="8"/>
      <c r="F24" s="8"/>
      <c r="G24" s="8"/>
      <c r="H24" s="8"/>
      <c r="I24" s="8"/>
      <c r="J24" s="8" t="str">
        <f t="shared" si="0"/>
        <v/>
      </c>
      <c r="K24" s="8" t="str">
        <f t="shared" si="1"/>
        <v/>
      </c>
      <c r="L24" s="8" t="str">
        <f t="shared" si="2"/>
        <v/>
      </c>
      <c r="M24" s="8" t="str">
        <f t="shared" si="3"/>
        <v/>
      </c>
      <c r="N24" s="9" t="str">
        <f t="shared" si="4"/>
        <v/>
      </c>
    </row>
    <row r="25" spans="1:14">
      <c r="A25" s="7">
        <v>19</v>
      </c>
      <c r="B25" s="8"/>
      <c r="C25" s="8"/>
      <c r="D25" s="8"/>
      <c r="E25" s="8"/>
      <c r="F25" s="8"/>
      <c r="G25" s="8"/>
      <c r="H25" s="8"/>
      <c r="I25" s="8"/>
      <c r="J25" s="8" t="str">
        <f t="shared" si="0"/>
        <v/>
      </c>
      <c r="K25" s="8" t="str">
        <f t="shared" si="1"/>
        <v/>
      </c>
      <c r="L25" s="8" t="str">
        <f t="shared" si="2"/>
        <v/>
      </c>
      <c r="M25" s="8" t="str">
        <f t="shared" si="3"/>
        <v/>
      </c>
      <c r="N25" s="9" t="str">
        <f t="shared" si="4"/>
        <v/>
      </c>
    </row>
    <row r="26" spans="1:14">
      <c r="A26" s="10">
        <v>20</v>
      </c>
      <c r="B26" s="11"/>
      <c r="C26" s="11"/>
      <c r="D26" s="11"/>
      <c r="E26" s="11"/>
      <c r="F26" s="11"/>
      <c r="G26" s="11"/>
      <c r="H26" s="11"/>
      <c r="I26" s="11"/>
      <c r="J26" s="11" t="str">
        <f t="shared" si="0"/>
        <v/>
      </c>
      <c r="K26" s="11" t="str">
        <f t="shared" si="1"/>
        <v/>
      </c>
      <c r="L26" s="11" t="str">
        <f t="shared" si="2"/>
        <v/>
      </c>
      <c r="M26" s="11" t="str">
        <f t="shared" si="3"/>
        <v/>
      </c>
      <c r="N26" s="12" t="str">
        <f t="shared" si="4"/>
        <v/>
      </c>
    </row>
    <row r="28" spans="1:14">
      <c r="A28" s="59" t="s">
        <v>392</v>
      </c>
      <c r="B28" s="60"/>
      <c r="C28" s="60"/>
      <c r="D28" s="60"/>
      <c r="E28" s="60"/>
      <c r="F28" s="61"/>
    </row>
    <row r="29" spans="1:14">
      <c r="A29" s="37" t="s">
        <v>393</v>
      </c>
      <c r="B29" s="38" t="str">
        <f>IFERROR(AVERAGE(J7:J26),"")</f>
        <v/>
      </c>
      <c r="D29" s="37" t="s">
        <v>394</v>
      </c>
      <c r="E29" s="38">
        <v>75</v>
      </c>
    </row>
    <row r="30" spans="1:14">
      <c r="A30" s="7" t="s">
        <v>395</v>
      </c>
      <c r="B30" s="9" t="str">
        <f>IFERROR(AVERAGE(K7:K26),"")</f>
        <v/>
      </c>
      <c r="D30" s="10" t="s">
        <v>396</v>
      </c>
      <c r="E30" s="39" t="str">
        <f>IFERROR(COUNTIF(N7:N26,"Tercapai")/COUNT(J7:J26),"")</f>
        <v/>
      </c>
    </row>
    <row r="31" spans="1:14">
      <c r="A31" s="7" t="s">
        <v>397</v>
      </c>
      <c r="B31" s="9" t="str">
        <f>IFERROR(AVERAGE(L7:L26),"")</f>
        <v/>
      </c>
    </row>
    <row r="32" spans="1:14">
      <c r="A32" s="10" t="s">
        <v>398</v>
      </c>
      <c r="B32" s="12" t="str">
        <f>IFERROR(AVERAGE(M7:M26),"")</f>
        <v/>
      </c>
    </row>
  </sheetData>
  <mergeCells count="3">
    <mergeCell ref="A1:N1"/>
    <mergeCell ref="A2:N2"/>
    <mergeCell ref="A28:F28"/>
  </mergeCells>
  <conditionalFormatting sqref="N7:N26">
    <cfRule type="expression" dxfId="5" priority="1">
      <formula>N7="Tercapai"</formula>
    </cfRule>
    <cfRule type="expression" dxfId="4" priority="2">
      <formula>N7="Belum Tercapai"</formula>
    </cfRule>
  </conditionalFormatting>
  <pageMargins left="0.25" right="0.25" top="0.75" bottom="0.75" header="0.3" footer="0.3"/>
  <pageSetup paperSize="9" scale="7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N32"/>
  <sheetViews>
    <sheetView workbookViewId="0"/>
  </sheetViews>
  <sheetFormatPr defaultRowHeight="13.8"/>
  <cols>
    <col min="1" max="1" width="6" customWidth="1"/>
    <col min="2" max="2" width="14" customWidth="1"/>
    <col min="3" max="3" width="28" customWidth="1"/>
    <col min="4" max="7" width="10" customWidth="1"/>
    <col min="8" max="8" width="11" customWidth="1"/>
    <col min="9" max="9" width="10" customWidth="1"/>
    <col min="10" max="10" width="12" customWidth="1"/>
    <col min="11" max="13" width="10" customWidth="1"/>
    <col min="14" max="14" width="18" customWidth="1"/>
  </cols>
  <sheetData>
    <row r="1" spans="1:14" ht="22.35" customHeight="1">
      <c r="A1" s="54" t="s">
        <v>403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>
      <c r="A2" s="58" t="s">
        <v>404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41.4">
      <c r="A3" s="1" t="s">
        <v>381</v>
      </c>
      <c r="B3" s="2" t="s">
        <v>382</v>
      </c>
      <c r="C3" s="2" t="s">
        <v>383</v>
      </c>
      <c r="D3" s="2" t="s">
        <v>356</v>
      </c>
      <c r="E3" s="2" t="s">
        <v>343</v>
      </c>
      <c r="F3" s="2" t="s">
        <v>384</v>
      </c>
      <c r="G3" s="2" t="s">
        <v>385</v>
      </c>
      <c r="H3" s="2" t="s">
        <v>386</v>
      </c>
      <c r="I3" s="2" t="s">
        <v>306</v>
      </c>
      <c r="J3" s="2" t="s">
        <v>387</v>
      </c>
      <c r="K3" s="2" t="s">
        <v>291</v>
      </c>
      <c r="L3" s="2" t="s">
        <v>299</v>
      </c>
      <c r="M3" s="2" t="s">
        <v>307</v>
      </c>
      <c r="N3" s="3" t="s">
        <v>4</v>
      </c>
    </row>
    <row r="4" spans="1:14" ht="27.6">
      <c r="A4" s="1" t="s">
        <v>290</v>
      </c>
      <c r="B4" s="2">
        <v>100</v>
      </c>
      <c r="C4" s="2"/>
      <c r="D4" s="36">
        <v>0.15</v>
      </c>
      <c r="E4" s="36">
        <v>0.1</v>
      </c>
      <c r="F4" s="36">
        <v>0.2</v>
      </c>
      <c r="G4" s="36">
        <v>0.2</v>
      </c>
      <c r="H4" s="36">
        <v>0.1</v>
      </c>
      <c r="I4" s="36">
        <v>0.25</v>
      </c>
      <c r="J4" s="2" t="s">
        <v>388</v>
      </c>
      <c r="K4" s="2">
        <v>75</v>
      </c>
      <c r="L4" s="2">
        <v>75</v>
      </c>
      <c r="M4" s="2">
        <v>75</v>
      </c>
      <c r="N4" s="3"/>
    </row>
    <row r="6" spans="1:14">
      <c r="A6" s="4" t="s">
        <v>1</v>
      </c>
      <c r="B6" s="5" t="s">
        <v>389</v>
      </c>
      <c r="C6" s="5" t="s">
        <v>390</v>
      </c>
      <c r="D6" s="5" t="s">
        <v>356</v>
      </c>
      <c r="E6" s="5" t="s">
        <v>343</v>
      </c>
      <c r="F6" s="5" t="s">
        <v>384</v>
      </c>
      <c r="G6" s="5" t="s">
        <v>385</v>
      </c>
      <c r="H6" s="5" t="s">
        <v>386</v>
      </c>
      <c r="I6" s="5" t="s">
        <v>306</v>
      </c>
      <c r="J6" s="5" t="s">
        <v>387</v>
      </c>
      <c r="K6" s="5" t="s">
        <v>291</v>
      </c>
      <c r="L6" s="5" t="s">
        <v>299</v>
      </c>
      <c r="M6" s="5" t="s">
        <v>307</v>
      </c>
      <c r="N6" s="6" t="s">
        <v>391</v>
      </c>
    </row>
    <row r="7" spans="1:14">
      <c r="A7" s="7">
        <v>1</v>
      </c>
      <c r="B7" s="8"/>
      <c r="C7" s="8"/>
      <c r="D7" s="8"/>
      <c r="E7" s="8"/>
      <c r="F7" s="8"/>
      <c r="G7" s="8"/>
      <c r="H7" s="8"/>
      <c r="I7" s="8"/>
      <c r="J7" s="8" t="str">
        <f t="shared" ref="J7:J26" si="0">IF(COUNTA(D7:I7)=0,"",D7*$D$4+E7*$E$4+F7*$F$4+G7*$G$4+H7*$H$4+I7*$I$4)</f>
        <v/>
      </c>
      <c r="K7" s="8" t="str">
        <f t="shared" ref="K7:K26" si="1">IF(COUNTA(D7:F7)=0,"",(D7*$D$4+E7*$E$4+F7*$F$4)/SUM($D$4:$F$4))</f>
        <v/>
      </c>
      <c r="L7" s="8" t="str">
        <f t="shared" ref="L7:L26" si="2">IF(COUNTA(G7:H7)=0,"",(G7*$G$4+H7*$H$4)/SUM($G$4:$H$4))</f>
        <v/>
      </c>
      <c r="M7" s="8" t="str">
        <f t="shared" ref="M7:M26" si="3">IF(I7="","",I7)</f>
        <v/>
      </c>
      <c r="N7" s="9" t="str">
        <f t="shared" ref="N7:N26" si="4">IF(J7="","",IF(J7&gt;=75,"Tercapai","Belum Tercapai"))</f>
        <v/>
      </c>
    </row>
    <row r="8" spans="1:14">
      <c r="A8" s="7">
        <v>2</v>
      </c>
      <c r="B8" s="8"/>
      <c r="C8" s="8"/>
      <c r="D8" s="8"/>
      <c r="E8" s="8"/>
      <c r="F8" s="8"/>
      <c r="G8" s="8"/>
      <c r="H8" s="8"/>
      <c r="I8" s="8"/>
      <c r="J8" s="8" t="str">
        <f t="shared" si="0"/>
        <v/>
      </c>
      <c r="K8" s="8" t="str">
        <f t="shared" si="1"/>
        <v/>
      </c>
      <c r="L8" s="8" t="str">
        <f t="shared" si="2"/>
        <v/>
      </c>
      <c r="M8" s="8" t="str">
        <f t="shared" si="3"/>
        <v/>
      </c>
      <c r="N8" s="9" t="str">
        <f t="shared" si="4"/>
        <v/>
      </c>
    </row>
    <row r="9" spans="1:14">
      <c r="A9" s="7">
        <v>3</v>
      </c>
      <c r="B9" s="8"/>
      <c r="C9" s="8"/>
      <c r="D9" s="8"/>
      <c r="E9" s="8"/>
      <c r="F9" s="8"/>
      <c r="G9" s="8"/>
      <c r="H9" s="8"/>
      <c r="I9" s="8"/>
      <c r="J9" s="8" t="str">
        <f t="shared" si="0"/>
        <v/>
      </c>
      <c r="K9" s="8" t="str">
        <f t="shared" si="1"/>
        <v/>
      </c>
      <c r="L9" s="8" t="str">
        <f t="shared" si="2"/>
        <v/>
      </c>
      <c r="M9" s="8" t="str">
        <f t="shared" si="3"/>
        <v/>
      </c>
      <c r="N9" s="9" t="str">
        <f t="shared" si="4"/>
        <v/>
      </c>
    </row>
    <row r="10" spans="1:14">
      <c r="A10" s="7">
        <v>4</v>
      </c>
      <c r="B10" s="8"/>
      <c r="C10" s="8"/>
      <c r="D10" s="8"/>
      <c r="E10" s="8"/>
      <c r="F10" s="8"/>
      <c r="G10" s="8"/>
      <c r="H10" s="8"/>
      <c r="I10" s="8"/>
      <c r="J10" s="8" t="str">
        <f t="shared" si="0"/>
        <v/>
      </c>
      <c r="K10" s="8" t="str">
        <f t="shared" si="1"/>
        <v/>
      </c>
      <c r="L10" s="8" t="str">
        <f t="shared" si="2"/>
        <v/>
      </c>
      <c r="M10" s="8" t="str">
        <f t="shared" si="3"/>
        <v/>
      </c>
      <c r="N10" s="9" t="str">
        <f t="shared" si="4"/>
        <v/>
      </c>
    </row>
    <row r="11" spans="1:14">
      <c r="A11" s="7">
        <v>5</v>
      </c>
      <c r="B11" s="8"/>
      <c r="C11" s="8"/>
      <c r="D11" s="8"/>
      <c r="E11" s="8"/>
      <c r="F11" s="8"/>
      <c r="G11" s="8"/>
      <c r="H11" s="8"/>
      <c r="I11" s="8"/>
      <c r="J11" s="8" t="str">
        <f t="shared" si="0"/>
        <v/>
      </c>
      <c r="K11" s="8" t="str">
        <f t="shared" si="1"/>
        <v/>
      </c>
      <c r="L11" s="8" t="str">
        <f t="shared" si="2"/>
        <v/>
      </c>
      <c r="M11" s="8" t="str">
        <f t="shared" si="3"/>
        <v/>
      </c>
      <c r="N11" s="9" t="str">
        <f t="shared" si="4"/>
        <v/>
      </c>
    </row>
    <row r="12" spans="1:14">
      <c r="A12" s="7">
        <v>6</v>
      </c>
      <c r="B12" s="8"/>
      <c r="C12" s="8"/>
      <c r="D12" s="8"/>
      <c r="E12" s="8"/>
      <c r="F12" s="8"/>
      <c r="G12" s="8"/>
      <c r="H12" s="8"/>
      <c r="I12" s="8"/>
      <c r="J12" s="8" t="str">
        <f t="shared" si="0"/>
        <v/>
      </c>
      <c r="K12" s="8" t="str">
        <f t="shared" si="1"/>
        <v/>
      </c>
      <c r="L12" s="8" t="str">
        <f t="shared" si="2"/>
        <v/>
      </c>
      <c r="M12" s="8" t="str">
        <f t="shared" si="3"/>
        <v/>
      </c>
      <c r="N12" s="9" t="str">
        <f t="shared" si="4"/>
        <v/>
      </c>
    </row>
    <row r="13" spans="1:14">
      <c r="A13" s="7">
        <v>7</v>
      </c>
      <c r="B13" s="8"/>
      <c r="C13" s="8"/>
      <c r="D13" s="8"/>
      <c r="E13" s="8"/>
      <c r="F13" s="8"/>
      <c r="G13" s="8"/>
      <c r="H13" s="8"/>
      <c r="I13" s="8"/>
      <c r="J13" s="8" t="str">
        <f t="shared" si="0"/>
        <v/>
      </c>
      <c r="K13" s="8" t="str">
        <f t="shared" si="1"/>
        <v/>
      </c>
      <c r="L13" s="8" t="str">
        <f t="shared" si="2"/>
        <v/>
      </c>
      <c r="M13" s="8" t="str">
        <f t="shared" si="3"/>
        <v/>
      </c>
      <c r="N13" s="9" t="str">
        <f t="shared" si="4"/>
        <v/>
      </c>
    </row>
    <row r="14" spans="1:14">
      <c r="A14" s="7">
        <v>8</v>
      </c>
      <c r="B14" s="8"/>
      <c r="C14" s="8"/>
      <c r="D14" s="8"/>
      <c r="E14" s="8"/>
      <c r="F14" s="8"/>
      <c r="G14" s="8"/>
      <c r="H14" s="8"/>
      <c r="I14" s="8"/>
      <c r="J14" s="8" t="str">
        <f t="shared" si="0"/>
        <v/>
      </c>
      <c r="K14" s="8" t="str">
        <f t="shared" si="1"/>
        <v/>
      </c>
      <c r="L14" s="8" t="str">
        <f t="shared" si="2"/>
        <v/>
      </c>
      <c r="M14" s="8" t="str">
        <f t="shared" si="3"/>
        <v/>
      </c>
      <c r="N14" s="9" t="str">
        <f t="shared" si="4"/>
        <v/>
      </c>
    </row>
    <row r="15" spans="1:14">
      <c r="A15" s="7">
        <v>9</v>
      </c>
      <c r="B15" s="8"/>
      <c r="C15" s="8"/>
      <c r="D15" s="8"/>
      <c r="E15" s="8"/>
      <c r="F15" s="8"/>
      <c r="G15" s="8"/>
      <c r="H15" s="8"/>
      <c r="I15" s="8"/>
      <c r="J15" s="8" t="str">
        <f t="shared" si="0"/>
        <v/>
      </c>
      <c r="K15" s="8" t="str">
        <f t="shared" si="1"/>
        <v/>
      </c>
      <c r="L15" s="8" t="str">
        <f t="shared" si="2"/>
        <v/>
      </c>
      <c r="M15" s="8" t="str">
        <f t="shared" si="3"/>
        <v/>
      </c>
      <c r="N15" s="9" t="str">
        <f t="shared" si="4"/>
        <v/>
      </c>
    </row>
    <row r="16" spans="1:14">
      <c r="A16" s="7">
        <v>10</v>
      </c>
      <c r="B16" s="8"/>
      <c r="C16" s="8"/>
      <c r="D16" s="8"/>
      <c r="E16" s="8"/>
      <c r="F16" s="8"/>
      <c r="G16" s="8"/>
      <c r="H16" s="8"/>
      <c r="I16" s="8"/>
      <c r="J16" s="8" t="str">
        <f t="shared" si="0"/>
        <v/>
      </c>
      <c r="K16" s="8" t="str">
        <f t="shared" si="1"/>
        <v/>
      </c>
      <c r="L16" s="8" t="str">
        <f t="shared" si="2"/>
        <v/>
      </c>
      <c r="M16" s="8" t="str">
        <f t="shared" si="3"/>
        <v/>
      </c>
      <c r="N16" s="9" t="str">
        <f t="shared" si="4"/>
        <v/>
      </c>
    </row>
    <row r="17" spans="1:14">
      <c r="A17" s="7">
        <v>11</v>
      </c>
      <c r="B17" s="8"/>
      <c r="C17" s="8"/>
      <c r="D17" s="8"/>
      <c r="E17" s="8"/>
      <c r="F17" s="8"/>
      <c r="G17" s="8"/>
      <c r="H17" s="8"/>
      <c r="I17" s="8"/>
      <c r="J17" s="8" t="str">
        <f t="shared" si="0"/>
        <v/>
      </c>
      <c r="K17" s="8" t="str">
        <f t="shared" si="1"/>
        <v/>
      </c>
      <c r="L17" s="8" t="str">
        <f t="shared" si="2"/>
        <v/>
      </c>
      <c r="M17" s="8" t="str">
        <f t="shared" si="3"/>
        <v/>
      </c>
      <c r="N17" s="9" t="str">
        <f t="shared" si="4"/>
        <v/>
      </c>
    </row>
    <row r="18" spans="1:14">
      <c r="A18" s="7">
        <v>12</v>
      </c>
      <c r="B18" s="8"/>
      <c r="C18" s="8"/>
      <c r="D18" s="8"/>
      <c r="E18" s="8"/>
      <c r="F18" s="8"/>
      <c r="G18" s="8"/>
      <c r="H18" s="8"/>
      <c r="I18" s="8"/>
      <c r="J18" s="8" t="str">
        <f t="shared" si="0"/>
        <v/>
      </c>
      <c r="K18" s="8" t="str">
        <f t="shared" si="1"/>
        <v/>
      </c>
      <c r="L18" s="8" t="str">
        <f t="shared" si="2"/>
        <v/>
      </c>
      <c r="M18" s="8" t="str">
        <f t="shared" si="3"/>
        <v/>
      </c>
      <c r="N18" s="9" t="str">
        <f t="shared" si="4"/>
        <v/>
      </c>
    </row>
    <row r="19" spans="1:14">
      <c r="A19" s="7">
        <v>13</v>
      </c>
      <c r="B19" s="8"/>
      <c r="C19" s="8"/>
      <c r="D19" s="8"/>
      <c r="E19" s="8"/>
      <c r="F19" s="8"/>
      <c r="G19" s="8"/>
      <c r="H19" s="8"/>
      <c r="I19" s="8"/>
      <c r="J19" s="8" t="str">
        <f t="shared" si="0"/>
        <v/>
      </c>
      <c r="K19" s="8" t="str">
        <f t="shared" si="1"/>
        <v/>
      </c>
      <c r="L19" s="8" t="str">
        <f t="shared" si="2"/>
        <v/>
      </c>
      <c r="M19" s="8" t="str">
        <f t="shared" si="3"/>
        <v/>
      </c>
      <c r="N19" s="9" t="str">
        <f t="shared" si="4"/>
        <v/>
      </c>
    </row>
    <row r="20" spans="1:14">
      <c r="A20" s="7">
        <v>14</v>
      </c>
      <c r="B20" s="8"/>
      <c r="C20" s="8"/>
      <c r="D20" s="8"/>
      <c r="E20" s="8"/>
      <c r="F20" s="8"/>
      <c r="G20" s="8"/>
      <c r="H20" s="8"/>
      <c r="I20" s="8"/>
      <c r="J20" s="8" t="str">
        <f t="shared" si="0"/>
        <v/>
      </c>
      <c r="K20" s="8" t="str">
        <f t="shared" si="1"/>
        <v/>
      </c>
      <c r="L20" s="8" t="str">
        <f t="shared" si="2"/>
        <v/>
      </c>
      <c r="M20" s="8" t="str">
        <f t="shared" si="3"/>
        <v/>
      </c>
      <c r="N20" s="9" t="str">
        <f t="shared" si="4"/>
        <v/>
      </c>
    </row>
    <row r="21" spans="1:14">
      <c r="A21" s="7">
        <v>15</v>
      </c>
      <c r="B21" s="8"/>
      <c r="C21" s="8"/>
      <c r="D21" s="8"/>
      <c r="E21" s="8"/>
      <c r="F21" s="8"/>
      <c r="G21" s="8"/>
      <c r="H21" s="8"/>
      <c r="I21" s="8"/>
      <c r="J21" s="8" t="str">
        <f t="shared" si="0"/>
        <v/>
      </c>
      <c r="K21" s="8" t="str">
        <f t="shared" si="1"/>
        <v/>
      </c>
      <c r="L21" s="8" t="str">
        <f t="shared" si="2"/>
        <v/>
      </c>
      <c r="M21" s="8" t="str">
        <f t="shared" si="3"/>
        <v/>
      </c>
      <c r="N21" s="9" t="str">
        <f t="shared" si="4"/>
        <v/>
      </c>
    </row>
    <row r="22" spans="1:14">
      <c r="A22" s="7">
        <v>16</v>
      </c>
      <c r="B22" s="8"/>
      <c r="C22" s="8"/>
      <c r="D22" s="8"/>
      <c r="E22" s="8"/>
      <c r="F22" s="8"/>
      <c r="G22" s="8"/>
      <c r="H22" s="8"/>
      <c r="I22" s="8"/>
      <c r="J22" s="8" t="str">
        <f t="shared" si="0"/>
        <v/>
      </c>
      <c r="K22" s="8" t="str">
        <f t="shared" si="1"/>
        <v/>
      </c>
      <c r="L22" s="8" t="str">
        <f t="shared" si="2"/>
        <v/>
      </c>
      <c r="M22" s="8" t="str">
        <f t="shared" si="3"/>
        <v/>
      </c>
      <c r="N22" s="9" t="str">
        <f t="shared" si="4"/>
        <v/>
      </c>
    </row>
    <row r="23" spans="1:14">
      <c r="A23" s="7">
        <v>17</v>
      </c>
      <c r="B23" s="8"/>
      <c r="C23" s="8"/>
      <c r="D23" s="8"/>
      <c r="E23" s="8"/>
      <c r="F23" s="8"/>
      <c r="G23" s="8"/>
      <c r="H23" s="8"/>
      <c r="I23" s="8"/>
      <c r="J23" s="8" t="str">
        <f t="shared" si="0"/>
        <v/>
      </c>
      <c r="K23" s="8" t="str">
        <f t="shared" si="1"/>
        <v/>
      </c>
      <c r="L23" s="8" t="str">
        <f t="shared" si="2"/>
        <v/>
      </c>
      <c r="M23" s="8" t="str">
        <f t="shared" si="3"/>
        <v/>
      </c>
      <c r="N23" s="9" t="str">
        <f t="shared" si="4"/>
        <v/>
      </c>
    </row>
    <row r="24" spans="1:14">
      <c r="A24" s="7">
        <v>18</v>
      </c>
      <c r="B24" s="8"/>
      <c r="C24" s="8"/>
      <c r="D24" s="8"/>
      <c r="E24" s="8"/>
      <c r="F24" s="8"/>
      <c r="G24" s="8"/>
      <c r="H24" s="8"/>
      <c r="I24" s="8"/>
      <c r="J24" s="8" t="str">
        <f t="shared" si="0"/>
        <v/>
      </c>
      <c r="K24" s="8" t="str">
        <f t="shared" si="1"/>
        <v/>
      </c>
      <c r="L24" s="8" t="str">
        <f t="shared" si="2"/>
        <v/>
      </c>
      <c r="M24" s="8" t="str">
        <f t="shared" si="3"/>
        <v/>
      </c>
      <c r="N24" s="9" t="str">
        <f t="shared" si="4"/>
        <v/>
      </c>
    </row>
    <row r="25" spans="1:14">
      <c r="A25" s="7">
        <v>19</v>
      </c>
      <c r="B25" s="8"/>
      <c r="C25" s="8"/>
      <c r="D25" s="8"/>
      <c r="E25" s="8"/>
      <c r="F25" s="8"/>
      <c r="G25" s="8"/>
      <c r="H25" s="8"/>
      <c r="I25" s="8"/>
      <c r="J25" s="8" t="str">
        <f t="shared" si="0"/>
        <v/>
      </c>
      <c r="K25" s="8" t="str">
        <f t="shared" si="1"/>
        <v/>
      </c>
      <c r="L25" s="8" t="str">
        <f t="shared" si="2"/>
        <v/>
      </c>
      <c r="M25" s="8" t="str">
        <f t="shared" si="3"/>
        <v/>
      </c>
      <c r="N25" s="9" t="str">
        <f t="shared" si="4"/>
        <v/>
      </c>
    </row>
    <row r="26" spans="1:14">
      <c r="A26" s="10">
        <v>20</v>
      </c>
      <c r="B26" s="11"/>
      <c r="C26" s="11"/>
      <c r="D26" s="11"/>
      <c r="E26" s="11"/>
      <c r="F26" s="11"/>
      <c r="G26" s="11"/>
      <c r="H26" s="11"/>
      <c r="I26" s="11"/>
      <c r="J26" s="11" t="str">
        <f t="shared" si="0"/>
        <v/>
      </c>
      <c r="K26" s="11" t="str">
        <f t="shared" si="1"/>
        <v/>
      </c>
      <c r="L26" s="11" t="str">
        <f t="shared" si="2"/>
        <v/>
      </c>
      <c r="M26" s="11" t="str">
        <f t="shared" si="3"/>
        <v/>
      </c>
      <c r="N26" s="12" t="str">
        <f t="shared" si="4"/>
        <v/>
      </c>
    </row>
    <row r="28" spans="1:14">
      <c r="A28" s="59" t="s">
        <v>392</v>
      </c>
      <c r="B28" s="60"/>
      <c r="C28" s="60"/>
      <c r="D28" s="60"/>
      <c r="E28" s="60"/>
      <c r="F28" s="61"/>
    </row>
    <row r="29" spans="1:14">
      <c r="A29" s="37" t="s">
        <v>393</v>
      </c>
      <c r="B29" s="38" t="str">
        <f>IFERROR(AVERAGE(J7:J26),"")</f>
        <v/>
      </c>
      <c r="D29" s="37" t="s">
        <v>394</v>
      </c>
      <c r="E29" s="38">
        <v>75</v>
      </c>
    </row>
    <row r="30" spans="1:14">
      <c r="A30" s="7" t="s">
        <v>395</v>
      </c>
      <c r="B30" s="9" t="str">
        <f>IFERROR(AVERAGE(K7:K26),"")</f>
        <v/>
      </c>
      <c r="D30" s="10" t="s">
        <v>396</v>
      </c>
      <c r="E30" s="39" t="str">
        <f>IFERROR(COUNTIF(N7:N26,"Tercapai")/COUNT(J7:J26),"")</f>
        <v/>
      </c>
    </row>
    <row r="31" spans="1:14">
      <c r="A31" s="7" t="s">
        <v>397</v>
      </c>
      <c r="B31" s="9" t="str">
        <f>IFERROR(AVERAGE(L7:L26),"")</f>
        <v/>
      </c>
    </row>
    <row r="32" spans="1:14">
      <c r="A32" s="10" t="s">
        <v>398</v>
      </c>
      <c r="B32" s="12" t="str">
        <f>IFERROR(AVERAGE(M7:M26),"")</f>
        <v/>
      </c>
    </row>
  </sheetData>
  <mergeCells count="3">
    <mergeCell ref="A1:N1"/>
    <mergeCell ref="A2:N2"/>
    <mergeCell ref="A28:F28"/>
  </mergeCells>
  <conditionalFormatting sqref="N7:N26">
    <cfRule type="expression" dxfId="3" priority="1">
      <formula>N7="Tercapai"</formula>
    </cfRule>
    <cfRule type="expression" dxfId="2" priority="2">
      <formula>N7="Belum Tercapai"</formula>
    </cfRule>
  </conditionalFormatting>
  <pageMargins left="0.25" right="0.25" top="0.75" bottom="0.75" header="0.3" footer="0.3"/>
  <pageSetup paperSize="9" scale="7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13"/>
  <sheetViews>
    <sheetView workbookViewId="0"/>
  </sheetViews>
  <sheetFormatPr defaultRowHeight="13.8"/>
  <cols>
    <col min="1" max="1" width="10" customWidth="1"/>
    <col min="2" max="2" width="36" customWidth="1"/>
    <col min="3" max="3" width="18" customWidth="1"/>
    <col min="4" max="4" width="48" customWidth="1"/>
    <col min="5" max="5" width="12" customWidth="1"/>
    <col min="6" max="6" width="16" customWidth="1"/>
    <col min="7" max="7" width="18" customWidth="1"/>
  </cols>
  <sheetData>
    <row r="1" spans="1:7" ht="22.35" customHeight="1">
      <c r="A1" s="54" t="s">
        <v>405</v>
      </c>
      <c r="B1" s="54"/>
      <c r="C1" s="54"/>
      <c r="D1" s="54"/>
      <c r="E1" s="54"/>
      <c r="F1" s="54"/>
      <c r="G1" s="54"/>
    </row>
    <row r="2" spans="1:7">
      <c r="A2" s="58" t="s">
        <v>406</v>
      </c>
      <c r="B2" s="58"/>
      <c r="C2" s="58"/>
      <c r="D2" s="58"/>
      <c r="E2" s="58"/>
      <c r="F2" s="58"/>
      <c r="G2" s="58"/>
    </row>
    <row r="3" spans="1:7" ht="27.6">
      <c r="A3" s="4" t="s">
        <v>80</v>
      </c>
      <c r="B3" s="5" t="s">
        <v>407</v>
      </c>
      <c r="C3" s="5" t="s">
        <v>408</v>
      </c>
      <c r="D3" s="5" t="s">
        <v>409</v>
      </c>
      <c r="E3" s="5" t="s">
        <v>410</v>
      </c>
      <c r="F3" s="5" t="s">
        <v>411</v>
      </c>
      <c r="G3" s="6" t="s">
        <v>4</v>
      </c>
    </row>
    <row r="4" spans="1:7">
      <c r="A4" s="7" t="s">
        <v>85</v>
      </c>
      <c r="B4" s="13" t="s">
        <v>87</v>
      </c>
      <c r="C4" s="13">
        <v>7</v>
      </c>
      <c r="D4" s="13" t="s">
        <v>244</v>
      </c>
      <c r="E4" s="8">
        <v>75</v>
      </c>
      <c r="F4" s="8"/>
      <c r="G4" s="9" t="str">
        <f t="shared" ref="G4:G13" si="0">IF(F4="","Belum ada data",IF(F4&gt;=E4,"Tercapai","Belum Tercapai"))</f>
        <v>Belum ada data</v>
      </c>
    </row>
    <row r="5" spans="1:7">
      <c r="A5" s="7" t="s">
        <v>90</v>
      </c>
      <c r="B5" s="13" t="s">
        <v>92</v>
      </c>
      <c r="C5" s="13">
        <v>13</v>
      </c>
      <c r="D5" s="13" t="s">
        <v>412</v>
      </c>
      <c r="E5" s="8">
        <v>75</v>
      </c>
      <c r="F5" s="8"/>
      <c r="G5" s="9" t="str">
        <f t="shared" si="0"/>
        <v>Belum ada data</v>
      </c>
    </row>
    <row r="6" spans="1:7">
      <c r="A6" s="7" t="s">
        <v>94</v>
      </c>
      <c r="B6" s="13" t="s">
        <v>96</v>
      </c>
      <c r="C6" s="13">
        <v>12</v>
      </c>
      <c r="D6" s="13" t="s">
        <v>413</v>
      </c>
      <c r="E6" s="8">
        <v>75</v>
      </c>
      <c r="F6" s="8"/>
      <c r="G6" s="9" t="str">
        <f t="shared" si="0"/>
        <v>Belum ada data</v>
      </c>
    </row>
    <row r="7" spans="1:7">
      <c r="A7" s="7" t="s">
        <v>98</v>
      </c>
      <c r="B7" s="13" t="s">
        <v>100</v>
      </c>
      <c r="C7" s="13">
        <v>10</v>
      </c>
      <c r="D7" s="13" t="s">
        <v>414</v>
      </c>
      <c r="E7" s="8">
        <v>75</v>
      </c>
      <c r="F7" s="8"/>
      <c r="G7" s="9" t="str">
        <f t="shared" si="0"/>
        <v>Belum ada data</v>
      </c>
    </row>
    <row r="8" spans="1:7">
      <c r="A8" s="7" t="s">
        <v>102</v>
      </c>
      <c r="B8" s="13" t="s">
        <v>104</v>
      </c>
      <c r="C8" s="13">
        <v>11</v>
      </c>
      <c r="D8" s="13" t="s">
        <v>238</v>
      </c>
      <c r="E8" s="8">
        <v>75</v>
      </c>
      <c r="F8" s="8"/>
      <c r="G8" s="9" t="str">
        <f t="shared" si="0"/>
        <v>Belum ada data</v>
      </c>
    </row>
    <row r="9" spans="1:7">
      <c r="A9" s="7" t="s">
        <v>106</v>
      </c>
      <c r="B9" s="13" t="s">
        <v>108</v>
      </c>
      <c r="C9" s="13">
        <v>8</v>
      </c>
      <c r="D9" s="13" t="s">
        <v>413</v>
      </c>
      <c r="E9" s="8">
        <v>75</v>
      </c>
      <c r="F9" s="8"/>
      <c r="G9" s="9" t="str">
        <f t="shared" si="0"/>
        <v>Belum ada data</v>
      </c>
    </row>
    <row r="10" spans="1:7">
      <c r="A10" s="7" t="s">
        <v>110</v>
      </c>
      <c r="B10" s="13" t="s">
        <v>112</v>
      </c>
      <c r="C10" s="13">
        <v>11</v>
      </c>
      <c r="D10" s="13" t="s">
        <v>242</v>
      </c>
      <c r="E10" s="8">
        <v>75</v>
      </c>
      <c r="F10" s="8"/>
      <c r="G10" s="9" t="str">
        <f t="shared" si="0"/>
        <v>Belum ada data</v>
      </c>
    </row>
    <row r="11" spans="1:7">
      <c r="A11" s="7" t="s">
        <v>114</v>
      </c>
      <c r="B11" s="13" t="s">
        <v>116</v>
      </c>
      <c r="C11" s="13">
        <v>10</v>
      </c>
      <c r="D11" s="13" t="s">
        <v>415</v>
      </c>
      <c r="E11" s="8">
        <v>75</v>
      </c>
      <c r="F11" s="8"/>
      <c r="G11" s="9" t="str">
        <f t="shared" si="0"/>
        <v>Belum ada data</v>
      </c>
    </row>
    <row r="12" spans="1:7">
      <c r="A12" s="7" t="s">
        <v>118</v>
      </c>
      <c r="B12" s="13" t="s">
        <v>120</v>
      </c>
      <c r="C12" s="13">
        <v>17</v>
      </c>
      <c r="D12" s="13" t="s">
        <v>416</v>
      </c>
      <c r="E12" s="8">
        <v>75</v>
      </c>
      <c r="F12" s="8"/>
      <c r="G12" s="9" t="str">
        <f t="shared" si="0"/>
        <v>Belum ada data</v>
      </c>
    </row>
    <row r="13" spans="1:7">
      <c r="A13" s="10" t="s">
        <v>121</v>
      </c>
      <c r="B13" s="14" t="s">
        <v>123</v>
      </c>
      <c r="C13" s="14">
        <v>22</v>
      </c>
      <c r="D13" s="14" t="s">
        <v>416</v>
      </c>
      <c r="E13" s="11">
        <v>75</v>
      </c>
      <c r="F13" s="11"/>
      <c r="G13" s="12" t="str">
        <f t="shared" si="0"/>
        <v>Belum ada data</v>
      </c>
    </row>
  </sheetData>
  <mergeCells count="2">
    <mergeCell ref="A1:G1"/>
    <mergeCell ref="A2:G2"/>
  </mergeCells>
  <conditionalFormatting sqref="G4:G13">
    <cfRule type="expression" dxfId="1" priority="1">
      <formula>G4="Tercapai"</formula>
    </cfRule>
    <cfRule type="expression" dxfId="0" priority="2">
      <formula>G4="Belum Tercapai"</formula>
    </cfRule>
  </conditionalFormatting>
  <dataValidations count="1">
    <dataValidation type="decimal" sqref="F4:F13" xr:uid="{00000000-0002-0000-0C00-000000000000}">
      <formula1>0</formula1>
      <formula2>100</formula2>
    </dataValidation>
  </dataValidations>
  <pageMargins left="0.25" right="0.25" top="0.75" bottom="0.75" header="0.3" footer="0.3"/>
  <pageSetup paperSize="9" scale="8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22"/>
  <sheetViews>
    <sheetView workbookViewId="0"/>
  </sheetViews>
  <sheetFormatPr defaultRowHeight="13.8"/>
  <cols>
    <col min="1" max="1" width="26" customWidth="1"/>
    <col min="2" max="2" width="12" customWidth="1"/>
    <col min="3" max="3" width="4" customWidth="1"/>
    <col min="4" max="4" width="12" customWidth="1"/>
    <col min="5" max="5" width="20" customWidth="1"/>
    <col min="6" max="6" width="18" customWidth="1"/>
    <col min="7" max="8" width="14" customWidth="1"/>
    <col min="9" max="10" width="12" customWidth="1"/>
  </cols>
  <sheetData>
    <row r="1" spans="1:10" ht="22.35" customHeight="1">
      <c r="A1" s="54" t="s">
        <v>417</v>
      </c>
      <c r="B1" s="54"/>
      <c r="C1" s="54"/>
      <c r="D1" s="54"/>
      <c r="E1" s="54"/>
      <c r="F1" s="54"/>
      <c r="G1" s="54"/>
      <c r="H1" s="54"/>
      <c r="I1" s="54"/>
      <c r="J1" s="54"/>
    </row>
    <row r="3" spans="1:10" ht="27.6">
      <c r="A3" s="4" t="s">
        <v>418</v>
      </c>
      <c r="B3" s="6" t="s">
        <v>419</v>
      </c>
      <c r="D3" s="4" t="s">
        <v>80</v>
      </c>
      <c r="E3" s="5" t="s">
        <v>408</v>
      </c>
      <c r="F3" s="6" t="s">
        <v>420</v>
      </c>
    </row>
    <row r="4" spans="1:10">
      <c r="A4" s="7" t="s">
        <v>421</v>
      </c>
      <c r="B4" s="9">
        <v>6</v>
      </c>
      <c r="D4" s="7" t="s">
        <v>85</v>
      </c>
      <c r="E4" s="8">
        <v>7</v>
      </c>
      <c r="F4" s="9">
        <v>3</v>
      </c>
    </row>
    <row r="5" spans="1:10">
      <c r="A5" s="7" t="s">
        <v>288</v>
      </c>
      <c r="B5" s="9">
        <v>10</v>
      </c>
      <c r="D5" s="7" t="s">
        <v>90</v>
      </c>
      <c r="E5" s="8">
        <v>13</v>
      </c>
      <c r="F5" s="9">
        <v>3</v>
      </c>
    </row>
    <row r="6" spans="1:10">
      <c r="A6" s="7" t="s">
        <v>422</v>
      </c>
      <c r="B6" s="9">
        <v>56</v>
      </c>
      <c r="D6" s="7" t="s">
        <v>94</v>
      </c>
      <c r="E6" s="8">
        <v>12</v>
      </c>
      <c r="F6" s="9">
        <v>3</v>
      </c>
    </row>
    <row r="7" spans="1:10">
      <c r="A7" s="7" t="s">
        <v>253</v>
      </c>
      <c r="B7" s="9">
        <v>146</v>
      </c>
      <c r="D7" s="7" t="s">
        <v>98</v>
      </c>
      <c r="E7" s="8">
        <v>10</v>
      </c>
      <c r="F7" s="9">
        <v>3</v>
      </c>
    </row>
    <row r="8" spans="1:10">
      <c r="A8" s="10" t="s">
        <v>251</v>
      </c>
      <c r="B8" s="12">
        <v>8</v>
      </c>
      <c r="D8" s="7" t="s">
        <v>102</v>
      </c>
      <c r="E8" s="8">
        <v>11</v>
      </c>
      <c r="F8" s="9">
        <v>2</v>
      </c>
    </row>
    <row r="9" spans="1:10">
      <c r="D9" s="7" t="s">
        <v>106</v>
      </c>
      <c r="E9" s="8">
        <v>8</v>
      </c>
      <c r="F9" s="9">
        <v>2</v>
      </c>
    </row>
    <row r="10" spans="1:10">
      <c r="A10" s="40"/>
      <c r="B10" s="41"/>
      <c r="C10" s="41"/>
      <c r="D10" s="51" t="s">
        <v>110</v>
      </c>
      <c r="E10" s="52">
        <v>11</v>
      </c>
      <c r="F10" s="53">
        <v>2</v>
      </c>
      <c r="G10" s="41"/>
      <c r="H10" s="42"/>
      <c r="I10" s="43"/>
      <c r="J10" s="43"/>
    </row>
    <row r="11" spans="1:10">
      <c r="A11" s="44"/>
      <c r="B11" s="44"/>
      <c r="C11" s="44"/>
      <c r="D11" s="45" t="s">
        <v>114</v>
      </c>
      <c r="E11" s="46">
        <v>10</v>
      </c>
      <c r="F11" s="47">
        <v>3</v>
      </c>
      <c r="G11" s="44"/>
      <c r="H11" s="44"/>
      <c r="I11" s="43"/>
      <c r="J11" s="43"/>
    </row>
    <row r="12" spans="1:10">
      <c r="A12" s="44"/>
      <c r="B12" s="44"/>
      <c r="C12" s="44"/>
      <c r="D12" s="45" t="s">
        <v>118</v>
      </c>
      <c r="E12" s="46">
        <v>17</v>
      </c>
      <c r="F12" s="47">
        <v>3</v>
      </c>
      <c r="G12" s="44"/>
      <c r="H12" s="44"/>
      <c r="I12" s="43"/>
      <c r="J12" s="43"/>
    </row>
    <row r="13" spans="1:10">
      <c r="A13" s="44"/>
      <c r="B13" s="44"/>
      <c r="C13" s="44"/>
      <c r="D13" s="48" t="s">
        <v>121</v>
      </c>
      <c r="E13" s="49">
        <v>22</v>
      </c>
      <c r="F13" s="50">
        <v>6</v>
      </c>
      <c r="G13" s="44"/>
      <c r="H13" s="44"/>
      <c r="I13" s="43"/>
      <c r="J13" s="43"/>
    </row>
    <row r="14" spans="1:10">
      <c r="A14" s="44"/>
      <c r="B14" s="44"/>
      <c r="C14" s="44"/>
      <c r="D14" s="44"/>
      <c r="E14" s="44"/>
      <c r="F14" s="44"/>
      <c r="G14" s="44"/>
      <c r="H14" s="44"/>
      <c r="I14" s="43"/>
      <c r="J14" s="43"/>
    </row>
    <row r="16" spans="1:10">
      <c r="A16" s="62" t="s">
        <v>423</v>
      </c>
      <c r="B16" s="63"/>
      <c r="C16" s="63"/>
      <c r="D16" s="63"/>
      <c r="E16" s="63"/>
      <c r="F16" s="63"/>
      <c r="G16" s="63"/>
      <c r="H16" s="63"/>
      <c r="I16" s="63"/>
      <c r="J16" s="64"/>
    </row>
    <row r="17" spans="1:10">
      <c r="A17" s="65" t="s">
        <v>424</v>
      </c>
      <c r="B17" s="65"/>
      <c r="C17" s="65"/>
      <c r="D17" s="65"/>
      <c r="E17" s="65"/>
      <c r="F17" s="65"/>
      <c r="G17" s="65"/>
      <c r="H17" s="65"/>
      <c r="I17" s="65"/>
      <c r="J17" s="65"/>
    </row>
    <row r="18" spans="1:10">
      <c r="A18" s="65" t="s">
        <v>425</v>
      </c>
      <c r="B18" s="65"/>
      <c r="C18" s="65"/>
      <c r="D18" s="65"/>
      <c r="E18" s="65"/>
      <c r="F18" s="65"/>
      <c r="G18" s="65"/>
      <c r="H18" s="65"/>
      <c r="I18" s="65"/>
      <c r="J18" s="65"/>
    </row>
    <row r="19" spans="1:10">
      <c r="A19" s="65" t="s">
        <v>426</v>
      </c>
      <c r="B19" s="65"/>
      <c r="C19" s="65"/>
      <c r="D19" s="65"/>
      <c r="E19" s="65"/>
      <c r="F19" s="65"/>
      <c r="G19" s="65"/>
      <c r="H19" s="65"/>
      <c r="I19" s="65"/>
      <c r="J19" s="65"/>
    </row>
    <row r="20" spans="1:10">
      <c r="A20" s="65" t="s">
        <v>427</v>
      </c>
      <c r="B20" s="65"/>
      <c r="C20" s="65"/>
      <c r="D20" s="65"/>
      <c r="E20" s="65"/>
      <c r="F20" s="65"/>
      <c r="G20" s="65"/>
      <c r="H20" s="65"/>
      <c r="I20" s="65"/>
      <c r="J20" s="65"/>
    </row>
    <row r="22" spans="1:10" ht="14.4">
      <c r="A22" s="55" t="s">
        <v>428</v>
      </c>
      <c r="B22" s="55"/>
      <c r="C22" s="55"/>
      <c r="D22" s="55"/>
      <c r="E22" s="55"/>
      <c r="F22" s="55"/>
      <c r="G22" s="55"/>
      <c r="H22" s="55"/>
      <c r="I22" s="55"/>
      <c r="J22" s="55"/>
    </row>
  </sheetData>
  <mergeCells count="7">
    <mergeCell ref="A20:J20"/>
    <mergeCell ref="A22:J22"/>
    <mergeCell ref="A1:J1"/>
    <mergeCell ref="A16:J16"/>
    <mergeCell ref="A17:J17"/>
    <mergeCell ref="A18:J18"/>
    <mergeCell ref="A19:J19"/>
  </mergeCells>
  <conditionalFormatting sqref="E4:E13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{2EE00D1B-2D45-FFC4-3FCC-E38FCF2A553F}</x14:id>
        </ext>
      </extLst>
    </cfRule>
  </conditionalFormatting>
  <pageMargins left="0.25" right="0.25" top="0.75" bottom="0.75" header="0.3" footer="0.3"/>
  <pageSetup paperSize="9" scale="91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E00D1B-2D45-FFC4-3FCC-E38FCF2A553F}">
            <x14:dataBar>
              <x14:cfvo type="min"/>
              <x14:cfvo type="max"/>
              <x14:negativeFillColor auto="1"/>
              <x14:axisColor auto="1"/>
            </x14:dataBar>
          </x14:cfRule>
          <xm:sqref>E4:E13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Cek List</vt:lpstr>
      <vt:lpstr>1. Profil Lulusan</vt:lpstr>
      <vt:lpstr>2. CPL Prodi</vt:lpstr>
      <vt:lpstr>3. CPL-PL</vt:lpstr>
      <vt:lpstr>4. CPL-MK</vt:lpstr>
      <vt:lpstr>5. Organisasi Mata Kuliah</vt:lpstr>
      <vt:lpstr>6. Peta Pemenuhan CPL</vt:lpstr>
      <vt:lpstr>7. MK-CPMK-SubCPMK-Evaluasi-CPL</vt:lpstr>
      <vt:lpstr>8. Evaluasi MK AI</vt:lpstr>
      <vt:lpstr>9. Evaluasi MK UIUX</vt:lpstr>
      <vt:lpstr>10. Evaluasi MK IoT</vt:lpstr>
      <vt:lpstr>11. Evaluasi MK TataKelola</vt:lpstr>
      <vt:lpstr>12. Perhitungan CPL</vt:lpstr>
      <vt:lpstr>13. 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QORI IMAMI</cp:lastModifiedBy>
  <cp:lastPrinted>2026-08-10T11:28:41Z</cp:lastPrinted>
  <dcterms:modified xsi:type="dcterms:W3CDTF">2026-08-10T13:08:36Z</dcterms:modified>
</cp:coreProperties>
</file>